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f96dc447d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f11dec4bda45f2"/>
    <x:sheet xmlns:r="http://schemas.openxmlformats.org/officeDocument/2006/relationships" name="Dataset" sheetId="2" r:id="R344e5e0f16b14e04"/>
    <x:sheet xmlns:r="http://schemas.openxmlformats.org/officeDocument/2006/relationships" name="Sources" sheetId="3" r:id="R56796c6aff1a49ea"/>
    <x:sheet xmlns:r="http://schemas.openxmlformats.org/officeDocument/2006/relationships" name="Smoke_Test" sheetId="4" r:id="Rb391cf7858bc47ce"/>
    <x:sheet xmlns:r="http://schemas.openxmlformats.org/officeDocument/2006/relationships" name="Eval_Rubric" sheetId="5" r:id="Rc873ed42c83b4729"/>
    <x:sheet xmlns:r="http://schemas.openxmlformats.org/officeDocument/2006/relationships" name="Test_Cases_View" sheetId="6" r:id="R9fd6714335d4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23B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0E7490"/>
      </x:patternFill>
    </x:fill>
    <x:fill>
      <x:patternFill patternType="solid">
        <x:fgColor rgb="FF123B5D"/>
      </x:patternFill>
    </x:fill>
    <x:fill>
      <x:patternFill patternType="solid">
        <x:fgColor rgb="FFE6F4F1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fbb31cdf74643" /><Relationship Type="http://schemas.openxmlformats.org/officeDocument/2006/relationships/theme" Target="/xl/theme/theme1.xml" Id="Rae9820843156465e" /><Relationship Type="http://schemas.openxmlformats.org/officeDocument/2006/relationships/sharedStrings" Target="/xl/sharedStrings.xml" Id="R98ed6b1d4a45411a" /><Relationship Type="http://schemas.openxmlformats.org/officeDocument/2006/relationships/worksheet" Target="/xl/worksheets/sheet1.xml" Id="Rb9f11dec4bda45f2" /><Relationship Type="http://schemas.openxmlformats.org/officeDocument/2006/relationships/worksheet" Target="/xl/worksheets/sheet2.xml" Id="R344e5e0f16b14e04" /><Relationship Type="http://schemas.openxmlformats.org/officeDocument/2006/relationships/worksheet" Target="/xl/worksheets/sheet3.xml" Id="R56796c6aff1a49ea" /><Relationship Type="http://schemas.openxmlformats.org/officeDocument/2006/relationships/worksheet" Target="/xl/worksheets/sheet4.xml" Id="Rb391cf7858bc47ce" /><Relationship Type="http://schemas.openxmlformats.org/officeDocument/2006/relationships/worksheet" Target="/xl/worksheets/sheet5.xml" Id="Rc873ed42c83b4729" /><Relationship Type="http://schemas.openxmlformats.org/officeDocument/2006/relationships/worksheet" Target="/xl/worksheets/sheet6.xml" Id="R9fd6714335d44c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706d65620c4c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Распределение 50 gold-тестов по категориям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'Summary'!$A$8:$A$13</c:f>
              <c:strCache>
                <c:ptCount val="0"/>
              </c:strCache>
            </c:strRef>
          </c:cat>
          <c:val>
            <c:numRef>
              <c:f>'Summary'!$B$8:$B$13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706d65620c4c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GoldDatasetTable" displayName="GoldDatasetTable" ref="A1:X51" headerRowCount="1" totalsRowCount="0" totalsRowShown="0">
  <x:tableColumns count="24">
    <x:tableColumn id="1" name="test_id"/>
    <x:tableColumn id="2" name="dataset_version"/>
    <x:tableColumn id="3" name="split"/>
    <x:tableColumn id="4" name="category"/>
    <x:tableColumn id="5" name="subcategory"/>
    <x:tableColumn id="6" name="difficulty"/>
    <x:tableColumn id="7" name="priority"/>
    <x:tableColumn id="8" name="question"/>
    <x:tableColumn id="9" name="expected_answer"/>
    <x:tableColumn id="10" name="expected_facts"/>
    <x:tableColumn id="11" name="forbidden_claims"/>
    <x:tableColumn id="12" name="answerability"/>
    <x:tableColumn id="13" name="intent"/>
    <x:tableColumn id="14" name="retrieval_target"/>
    <x:tableColumn id="15" name="expected_source_ids"/>
    <x:tableColumn id="16" name="citation_required"/>
    <x:tableColumn id="17" name="temporal"/>
    <x:tableColumn id="18" name="snapshot_date"/>
    <x:tableColumn id="19" name="notes"/>
    <x:tableColumn id="20" name="status"/>
    <x:tableColumn id="21" name="actual_answer"/>
    <x:tableColumn id="22" name="actual_sources"/>
    <x:tableColumn id="23" name="judge_result"/>
    <x:tableColumn id="24" name="judge_com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I18" headerRowCount="1" totalsRowCount="0" totalsRowShown="0">
  <x:tableColumns count="9">
    <x:tableColumn id="1" name="source_id"/>
    <x:tableColumn id="2" name="name"/>
    <x:tableColumn id="3" name="source_type"/>
    <x:tableColumn id="4" name="authority_tier"/>
    <x:tableColumn id="5" name="official"/>
    <x:tableColumn id="6" name="temporal"/>
    <x:tableColumn id="7" name="url"/>
    <x:tableColumn id="8" name="scope"/>
    <x:tableColumn id="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mokeTestTable" displayName="SmokeTestTable" ref="A1:J11" headerRowCount="1" totalsRowCount="0" totalsRowShown="0">
  <x:tableColumns count="10">
    <x:tableColumn id="1" name="test_id"/>
    <x:tableColumn id="2" name="layer"/>
    <x:tableColumn id="3" name="priority"/>
    <x:tableColumn id="4" name="check"/>
    <x:tableColumn id="5" name="preconditions"/>
    <x:tableColumn id="6" name="steps"/>
    <x:tableColumn id="7" name="expected_result"/>
    <x:tableColumn id="8" name="automation_candidate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dableCasesTable" displayName="ReadableCasesTable" ref="A1:N51" headerRowCount="1" totalsRowCount="0" totalsRowShown="0">
  <x:tableColumns count="14">
    <x:tableColumn id="1" name="Test ID"/>
    <x:tableColumn id="2" name="Category"/>
    <x:tableColumn id="3" name="Difficulty"/>
    <x:tableColumn id="4" name="Priority"/>
    <x:tableColumn id="5" name="Question"/>
    <x:tableColumn id="6" name="Expected answer"/>
    <x:tableColumn id="7" name="Expected facts"/>
    <x:tableColumn id="8" name="Must NOT claim"/>
    <x:tableColumn id="9" name="Answerability"/>
    <x:tableColumn id="10" name="Intent"/>
    <x:tableColumn id="11" name="Expected source IDs"/>
    <x:tableColumn id="12" name="Source URL(s)"/>
    <x:tableColumn id="13" name="Temporal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22c3d2429f43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abbf2a966f44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a2c772fd0144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c06785eea54d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024daefaba84d4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2" hidden="0" customWidth="1"/>
    <x:col min="4" max="4" width="38" hidden="0" customWidth="1"/>
    <x:col min="5" max="5" width="16" hidden="0" customWidth="1"/>
    <x:col min="6" max="6" width="20" hidden="0" customWidth="1"/>
    <x:col min="7" max="7" width="48" hidden="0" customWidth="1"/>
    <x:col min="8" max="8" width="52" hidden="0" customWidth="1"/>
  </x:cols>
  <x:sheetData>
    <x:row r="1">
      <x:c r="A1" s="38" t="str">
        <x:v>Берсерк AI — QA / Evaluation Seed Dataset v1.0</x:v>
      </x:c>
      <x:c r="B1" s="38"/>
      <x:c r="C1" s="38"/>
      <x:c r="D1" s="38"/>
      <x:c r="E1" s="38"/>
      <x:c r="F1" s="38"/>
      <x:c r="G1" s="38"/>
      <x:c r="H1" s="38"/>
    </x:row>
    <x:row r="2">
      <x:c r="A2" s="38"/>
      <x:c r="B2" s="38"/>
      <x:c r="C2" s="38"/>
      <x:c r="D2" s="38"/>
      <x:c r="E2" s="38"/>
      <x:c r="F2" s="38"/>
      <x:c r="G2" s="38"/>
      <x:c r="H2" s="38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12" t="str">
        <x:v>Назначение</x:v>
      </x:c>
      <x:c r="B4" s="12" t="str">
        <x:v>Версия</x:v>
      </x:c>
      <x:c r="C4" s="12" t="str">
        <x:v>Дата снимка</x:v>
      </x:c>
      <x:c r="D4" s="12" t="str">
        <x:v>Тестов</x:v>
      </x:c>
      <x:c r="E4" s="12" t="str">
        <x:v>Gold-вопросов</x:v>
      </x:c>
      <x:c r="F4" s="12" t="str">
        <x:v>Smoke-тестов</x:v>
      </x:c>
      <x:c r="G4" s="12" t="str">
        <x:v>Основной язык</x:v>
      </x:c>
      <x:c r="H4" s="12" t="str">
        <x:v>Статус</x:v>
      </x:c>
    </x:row>
    <x:row r="5">
      <x:c r="A5" s="26" t="str">
        <x:v>Первичный профессиональный QA/Evaluation-пакет для MVP RAG-ассистента</x:v>
      </x:c>
      <x:c r="B5" s="26" t="str">
        <x:v>v1.0</x:v>
      </x:c>
      <x:c r="C5" s="26" t="str">
        <x:v>2026-10-03</x:v>
      </x:c>
      <x:c r="D5" s="26" t="n">
        <x:v>50</x:v>
      </x:c>
      <x:c r="E5" s="26" t="n">
        <x:v>50</x:v>
      </x:c>
      <x:c r="F5" s="26" t="n">
        <x:v>10</x:v>
      </x:c>
      <x:c r="G5" s="26" t="str">
        <x:v>ru-RU</x:v>
      </x:c>
      <x:c r="H5" s="26" t="str">
        <x:v>READY</x:v>
      </x:c>
    </x:row>
    <x:row r="6">
      <x:c r="A6" s="26"/>
      <x:c r="B6" s="26"/>
      <x:c r="C6" s="26"/>
      <x:c r="D6" s="26"/>
      <x:c r="E6" s="26"/>
      <x:c r="F6" s="26"/>
      <x:c r="G6" s="26"/>
      <x:c r="H6" s="26"/>
    </x:row>
    <x:row r="7">
      <x:c r="A7" s="12" t="str">
        <x:v>Категория</x:v>
      </x:c>
      <x:c r="B7" s="12" t="str">
        <x:v>Количество</x:v>
      </x:c>
      <x:c r="C7" s="12" t="str">
        <x:v>Доля</x:v>
      </x:c>
      <x:c r="D7" s="12" t="str">
        <x:v>Комментарий</x:v>
      </x:c>
      <x:c r="E7" s="26"/>
      <x:c r="F7" s="12" t="str">
        <x:v>Принцип</x:v>
      </x:c>
      <x:c r="G7" s="12" t="str">
        <x:v>Правило</x:v>
      </x:c>
      <x:c r="H7" s="12" t="str">
        <x:v>Почему это важно</x:v>
      </x:c>
    </x:row>
    <x:row r="8">
      <x:c r="A8" s="26" t="str">
        <x:v>Rules_Basic</x:v>
      </x:c>
      <x:c r="B8" s="26" t="n">
        <x:f>COUNTIF(Dataset!$D:$D,A8)</x:f>
        <x:v>15</x:v>
      </x:c>
      <x:c r="C8" s="39" t="n">
        <x:f>B8/$D$5</x:f>
        <x:v>0.3</x:v>
      </x:c>
      <x:c r="D8" s="26" t="str">
        <x:v>Базовые правила игры</x:v>
      </x:c>
      <x:c r="E8" s="26"/>
      <x:c r="F8" s="26" t="str">
        <x:v>Source policy</x:v>
      </x:c>
      <x:c r="G8" s="26" t="str">
        <x:v>Gold-ответы строятся только на официальных источниках.</x:v>
      </x:c>
      <x:c r="H8" s="26" t="str">
        <x:v>Снижает риск закрепления community-мнений как правил.</x:v>
      </x:c>
    </x:row>
    <x:row r="9">
      <x:c r="A9" s="26" t="str">
        <x:v>Mechanics_Glossary</x:v>
      </x:c>
      <x:c r="B9" s="26" t="n">
        <x:f>COUNTIF(Dataset!$D:$D,A9)</x:f>
        <x:v>12</x:v>
      </x:c>
      <x:c r="C9" s="39" t="n">
        <x:f>B9/$D$5</x:f>
        <x:v>0.24</x:v>
      </x:c>
      <x:c r="D9" s="26" t="str">
        <x:v>Термины и механики</x:v>
      </x:c>
      <x:c r="E9" s="26"/>
      <x:c r="F9" s="26" t="str">
        <x:v>Specificity</x:v>
      </x:c>
      <x:c r="G9" s="26" t="str">
        <x:v>FAQ/эррата конкретной карты приоритетнее общего пересказа.</x:v>
      </x:c>
      <x:c r="H9" s="26" t="str">
        <x:v>Спорные взаимодействия должны оцениваться по наиболее специфичному официальному ruling.</x:v>
      </x:c>
    </x:row>
    <x:row r="10">
      <x:c r="A10" s="26" t="str">
        <x:v>Cards_Facts</x:v>
      </x:c>
      <x:c r="B10" s="26" t="n">
        <x:f>COUNTIF(Dataset!$D:$D,A10)</x:f>
        <x:v>8</x:v>
      </x:c>
      <x:c r="C10" s="39" t="n">
        <x:f>B10/$D$5</x:f>
        <x:v>0.16</x:v>
      </x:c>
      <x:c r="D10" s="26" t="str">
        <x:v>Структурированные данные карт</x:v>
      </x:c>
      <x:c r="E10" s="26"/>
      <x:c r="F10" s="26" t="str">
        <x:v>Freshness</x:v>
      </x:c>
      <x:c r="G10" s="26" t="str">
        <x:v>Динамические турнирные тесты имеют snapshot_date.</x:v>
      </x:c>
      <x:c r="H10" s="26" t="str">
        <x:v>Позволяет обновлять gold без смешения версий.</x:v>
      </x:c>
    </x:row>
    <x:row r="11">
      <x:c r="A11" s="26" t="str">
        <x:v>Card_FAQ_Interactions</x:v>
      </x:c>
      <x:c r="B11" s="26" t="n">
        <x:f>COUNTIF(Dataset!$D:$D,A11)</x:f>
        <x:v>8</x:v>
      </x:c>
      <x:c r="C11" s="39" t="n">
        <x:f>B11/$D$5</x:f>
        <x:v>0.16</x:v>
      </x:c>
      <x:c r="D11" s="26" t="str">
        <x:v>Официальные FAQ по взаимодействиям</x:v>
      </x:c>
      <x:c r="E11" s="26"/>
      <x:c r="F11" s="26" t="str">
        <x:v>Abstention</x:v>
      </x:c>
      <x:c r="G11" s="26" t="str">
        <x:v>Если данных нет — корректно сказать об отсутствии данных.</x:v>
      </x:c>
      <x:c r="H11" s="26" t="str">
        <x:v>Не поощряем уверенные галлюцинации.</x:v>
      </x:c>
    </x:row>
    <x:row r="12">
      <x:c r="A12" s="26" t="str">
        <x:v>Tournament_Formats</x:v>
      </x:c>
      <x:c r="B12" s="26" t="n">
        <x:f>COUNTIF(Dataset!$D:$D,A12)</x:f>
        <x:v>5</x:v>
      </x:c>
      <x:c r="C12" s="39" t="n">
        <x:f>B12/$D$5</x:f>
        <x:v>0.1</x:v>
      </x:c>
      <x:c r="D12" s="26" t="str">
        <x:v>Турнирные правила/актуальный контекст</x:v>
      </x:c>
      <x:c r="E12" s="26"/>
      <x:c r="F12" s="26" t="str">
        <x:v>Evaluation</x:v>
      </x:c>
      <x:c r="G12" s="26" t="str">
        <x:v>Сравниваем факты и источники, а не дословную фразу.</x:v>
      </x:c>
      <x:c r="H12" s="26" t="str">
        <x:v>LLM может отвечать разными корректными формулировками.</x:v>
      </x:c>
    </x:row>
    <x:row r="13">
      <x:c r="A13" s="26" t="str">
        <x:v>Negative_OutOfScope</x:v>
      </x:c>
      <x:c r="B13" s="26" t="n">
        <x:f>COUNTIF(Dataset!$D:$D,A13)</x:f>
        <x:v>2</x:v>
      </x:c>
      <x:c r="C13" s="39" t="n">
        <x:f>B13/$D$5</x:f>
        <x:v>0.04</x:v>
      </x:c>
      <x:c r="D13" s="26" t="str">
        <x:v>Контроль галлюцинаций и abstention</x:v>
      </x:c>
      <x:c r="E13" s="26"/>
      <x:c r="F13" s="26"/>
      <x:c r="G13" s="26"/>
      <x:c r="H13" s="26"/>
    </x:row>
    <x:row r="14">
      <x:c r="A14" s="26"/>
      <x:c r="B14" s="26"/>
      <x:c r="C14" s="26"/>
      <x:c r="D14" s="26"/>
      <x:c r="E14" s="26"/>
      <x:c r="F14" s="26"/>
      <x:c r="G14" s="26"/>
      <x:c r="H14" s="26"/>
    </x:row>
    <x:row r="15">
      <x:c r="A15" s="40" t="str">
        <x:v>Рекомендуемый процесс использования</x:v>
      </x:c>
      <x:c r="B15" s="40" t="str"/>
      <x:c r="C15" s="40" t="str"/>
      <x:c r="D15" s="40" t="str"/>
      <x:c r="E15" s="40" t="str"/>
      <x:c r="F15" s="40" t="str"/>
      <x:c r="G15" s="40" t="str"/>
      <x:c r="H15" s="40" t="str"/>
    </x:row>
    <x:row r="16">
      <x:c r="A16" s="28" t="str">
        <x:v>1) Retriever ищет документы → 2) модель формирует ответ → 3) сохраняются actual_answer и actual_sources → 4) QA ставит PASS/PARTIAL/FAIL по Eval_Rubric → 5) ошибки тегируются по категории. Для regression не редактировать старые gold-строки задним числом: повышать dataset_version и фиксировать изменения.</x:v>
      </x:c>
      <x:c r="B16" s="28"/>
      <x:c r="C16" s="28"/>
      <x:c r="D16" s="28"/>
      <x:c r="E16" s="28"/>
      <x:c r="F16" s="28"/>
      <x:c r="G16" s="28"/>
      <x:c r="H16" s="28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>
      <x:c r="A18" s="28"/>
      <x:c r="B18" s="28"/>
      <x:c r="C18" s="28"/>
      <x:c r="D18" s="28"/>
      <x:c r="E18" s="28"/>
      <x:c r="F18" s="28"/>
      <x:c r="G18" s="28"/>
      <x:c r="H18" s="28"/>
    </x:row>
    <x:row r="19">
      <x:c r="A19" s="45" t="str">
        <x:v>Machine-ready artifacts: JSONL с 50 gold-тестами + отдельный JSON-реестр источников. В XLSX лист Dataset — каноническая структура; Test_Cases_View — удобный читаемый вид.</x:v>
      </x:c>
      <x:c r="B19" s="45"/>
      <x:c r="C19" s="45"/>
      <x:c r="D19" s="45"/>
      <x:c r="E19" s="45"/>
      <x:c r="F19" s="45"/>
      <x:c r="G19" s="45"/>
      <x:c r="H19" s="45"/>
    </x:row>
    <x:row r="20">
      <x:c r="A20" s="26"/>
      <x:c r="B20" s="26"/>
      <x:c r="C20" s="26"/>
      <x:c r="D20" s="26"/>
      <x:c r="E20" s="26"/>
      <x:c r="F20" s="26"/>
      <x:c r="G20" s="26"/>
      <x:c r="H20" s="26"/>
    </x:row>
  </x:sheetData>
  <x:mergeCells>
    <x:mergeCell ref="A1:H2"/>
    <x:mergeCell ref="A16:H18"/>
    <x:mergeCell ref="A19:H19"/>
  </x:mergeCells>
  <x:pageMargins left="0.7" right="0.7" top="0.75" bottom="0.75" header="0.3" footer="0.3"/>
  <x:drawing xmlns:r="http://schemas.openxmlformats.org/officeDocument/2006/relationships" r:id="R9022c3d2429f43f2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2" hidden="0" customWidth="1"/>
    <x:col min="5" max="5" width="22" hidden="0" customWidth="1"/>
    <x:col min="6" max="6" width="12" hidden="0" customWidth="1"/>
    <x:col min="7" max="7" width="10" hidden="0" customWidth="1"/>
    <x:col min="8" max="8" width="44" hidden="0" customWidth="1"/>
    <x:col min="9" max="9" width="52" hidden="0" customWidth="1"/>
    <x:col min="10" max="10" width="55" hidden="0" customWidth="1"/>
    <x:col min="11" max="11" width="42" hidden="0" customWidth="1"/>
    <x:col min="12" max="12" width="18" hidden="0" customWidth="1"/>
    <x:col min="13" max="13" width="20" hidden="0" customWidth="1"/>
    <x:col min="14" max="14" width="24" hidden="0" customWidth="1"/>
    <x:col min="15" max="15" width="22" hidden="0" customWidth="1"/>
    <x:col min="16" max="16" width="16" hidden="0" customWidth="1"/>
    <x:col min="17" max="17" width="12" hidden="0" customWidth="1"/>
    <x:col min="18" max="18" width="14" hidden="0" customWidth="1"/>
    <x:col min="19" max="19" width="12" hidden="0" customWidth="1"/>
    <x:col min="20" max="20" width="12" hidden="0" customWidth="1"/>
    <x:col min="21" max="21" width="44" hidden="0" customWidth="1"/>
    <x:col min="22" max="22" width="30" hidden="0" customWidth="1"/>
    <x:col min="23" max="23" width="30" hidden="0" customWidth="1"/>
    <x:col min="24" max="24" width="16" hidden="0" customWidth="1"/>
    <x:col min="25" max="25" width="42" hidden="0" customWidth="1"/>
  </x:cols>
  <x:sheetData>
    <x:row r="1">
      <x:c r="A1" s="12" t="str">
        <x:v>test_id</x:v>
      </x:c>
      <x:c r="B1" s="12" t="str">
        <x:v>dataset_version</x:v>
      </x:c>
      <x:c r="C1" s="12" t="str">
        <x:v>split</x:v>
      </x:c>
      <x:c r="D1" s="12" t="str">
        <x:v>category</x:v>
      </x:c>
      <x:c r="E1" s="12" t="str">
        <x:v>subcategory</x:v>
      </x:c>
      <x:c r="F1" s="12" t="str">
        <x:v>difficulty</x:v>
      </x:c>
      <x:c r="G1" s="12" t="str">
        <x:v>priority</x:v>
      </x:c>
      <x:c r="H1" s="12" t="str">
        <x:v>question</x:v>
      </x:c>
      <x:c r="I1" s="12" t="str">
        <x:v>expected_answer</x:v>
      </x:c>
      <x:c r="J1" s="12" t="str">
        <x:v>expected_facts</x:v>
      </x:c>
      <x:c r="K1" s="12" t="str">
        <x:v>forbidden_claims</x:v>
      </x:c>
      <x:c r="L1" s="12" t="str">
        <x:v>answerability</x:v>
      </x:c>
      <x:c r="M1" s="12" t="str">
        <x:v>intent</x:v>
      </x:c>
      <x:c r="N1" s="12" t="str">
        <x:v>retrieval_target</x:v>
      </x:c>
      <x:c r="O1" s="12" t="str">
        <x:v>expected_source_ids</x:v>
      </x:c>
      <x:c r="P1" s="12" t="str">
        <x:v>citation_required</x:v>
      </x:c>
      <x:c r="Q1" s="12" t="str">
        <x:v>temporal</x:v>
      </x:c>
      <x:c r="R1" s="12" t="str">
        <x:v>snapshot_date</x:v>
      </x:c>
      <x:c r="S1" s="12" t="str">
        <x:v>notes</x:v>
      </x:c>
      <x:c r="T1" s="12" t="str">
        <x:v>status</x:v>
      </x:c>
      <x:c r="U1" s="12" t="str">
        <x:v>actual_answer</x:v>
      </x:c>
      <x:c r="V1" s="12" t="str">
        <x:v>actual_sources</x:v>
      </x:c>
      <x:c r="W1" s="12" t="str">
        <x:v>judge_result</x:v>
      </x:c>
      <x:c r="X1" s="12" t="str">
        <x:v>judge_comment</x:v>
      </x:c>
      <x:c r="Y1" s="26"/>
    </x:row>
    <x:row r="2">
      <x:c r="A2" s="28" t="str">
        <x:v>RUL-001</x:v>
      </x:c>
      <x:c r="B2" s="28" t="str">
        <x:v>1.0</x:v>
      </x:c>
      <x:c r="C2" s="28" t="str">
        <x:v>gold_seed</x:v>
      </x:c>
      <x:c r="D2" s="28" t="str">
        <x:v>Rules_Basic</x:v>
      </x:c>
      <x:c r="E2" s="28" t="str">
        <x:v>Victory</x:v>
      </x:c>
      <x:c r="F2" s="28" t="str">
        <x:v>easy</x:v>
      </x:c>
      <x:c r="G2" s="28" t="str">
        <x:v>P1</x:v>
      </x:c>
      <x:c r="H2" s="28" t="str">
        <x:v>Как победить в партии ККИ «Берсерк»?</x:v>
      </x:c>
      <x:c r="I2" s="28" t="str">
        <x:v>Побеждает игрок, который уничтожит всех существ противника.</x:v>
      </x:c>
      <x:c r="J2" s="28" t="str">
        <x:v>Условие победы — уничтожить всех существ противника.</x:v>
      </x:c>
      <x:c r="K2" s="28" t="str"/>
      <x:c r="L2" s="28" t="str">
        <x:v>answerable</x:v>
      </x:c>
      <x:c r="M2" s="28" t="str">
        <x:v>rules_query</x:v>
      </x:c>
      <x:c r="N2" s="28" t="str">
        <x:v>rules</x:v>
      </x:c>
      <x:c r="O2" s="28" t="str">
        <x:v>SRC-001</x:v>
      </x:c>
      <x:c r="P2" s="28" t="str">
        <x:v>Да</x:v>
      </x:c>
      <x:c r="Q2" s="28" t="str">
        <x:v>Нет</x:v>
      </x:c>
      <x:c r="R2" s="28" t="str"/>
      <x:c r="S2" s="28" t="str"/>
      <x:c r="T2" s="28" t="str">
        <x:v>NOT_RUN</x:v>
      </x:c>
      <x:c r="U2" s="28" t="str"/>
      <x:c r="V2" s="28" t="str"/>
      <x:c r="W2" s="28" t="str"/>
      <x:c r="X2" s="28" t="str"/>
      <x:c r="Y2" s="28"/>
    </x:row>
    <x:row r="3">
      <x:c r="A3" s="28" t="str">
        <x:v>RUL-002</x:v>
      </x:c>
      <x:c r="B3" s="28" t="str">
        <x:v>1.0</x:v>
      </x:c>
      <x:c r="C3" s="28" t="str">
        <x:v>gold_seed</x:v>
      </x:c>
      <x:c r="D3" s="28" t="str">
        <x:v>Rules_Basic</x:v>
      </x:c>
      <x:c r="E3" s="28" t="str">
        <x:v>Deckbuilding</x:v>
      </x:c>
      <x:c r="F3" s="28" t="str">
        <x:v>easy</x:v>
      </x:c>
      <x:c r="G3" s="28" t="str">
        <x:v>P1</x:v>
      </x:c>
      <x:c r="H3" s="28" t="str">
        <x:v>Сколько карт должно быть в колоде и сколько одинаковых карт можно положить?</x:v>
      </x:c>
      <x:c r="I3" s="28" t="str">
        <x:v>В колоде должно быть от 30 до 50 карт; обычно не более 3 карт с одинаковым названием.</x:v>
      </x:c>
      <x:c r="J3" s="28" t="str">
        <x:v>Размер колоды: 30–50; максимум 3 одинаковые карты.</x:v>
      </x:c>
      <x:c r="K3" s="28" t="str">
        <x:v>Не утверждать, что колода обязана содержать ровно 30 или ровно 50 карт.</x:v>
      </x:c>
      <x:c r="L3" s="28" t="str">
        <x:v>answerable</x:v>
      </x:c>
      <x:c r="M3" s="28" t="str">
        <x:v>rules_query</x:v>
      </x:c>
      <x:c r="N3" s="28" t="str">
        <x:v>rules</x:v>
      </x:c>
      <x:c r="O3" s="28" t="str">
        <x:v>SRC-001</x:v>
      </x:c>
      <x:c r="P3" s="28" t="str">
        <x:v>Да</x:v>
      </x:c>
      <x:c r="Q3" s="28" t="str">
        <x:v>Нет</x:v>
      </x:c>
      <x:c r="R3" s="28" t="str"/>
      <x:c r="S3" s="28" t="str"/>
      <x:c r="T3" s="28" t="str">
        <x:v>NOT_RUN</x:v>
      </x:c>
      <x:c r="U3" s="28" t="str"/>
      <x:c r="V3" s="28" t="str"/>
      <x:c r="W3" s="28" t="str"/>
      <x:c r="X3" s="28" t="str"/>
      <x:c r="Y3" s="28"/>
    </x:row>
    <x:row r="4">
      <x:c r="A4" s="28" t="str">
        <x:v>RUL-003</x:v>
      </x:c>
      <x:c r="B4" s="28" t="str">
        <x:v>1.0</x:v>
      </x:c>
      <x:c r="C4" s="28" t="str">
        <x:v>gold_seed</x:v>
      </x:c>
      <x:c r="D4" s="28" t="str">
        <x:v>Rules_Basic</x:v>
      </x:c>
      <x:c r="E4" s="28" t="str">
        <x:v>Turn order</x:v>
      </x:c>
      <x:c r="F4" s="28" t="str">
        <x:v>easy</x:v>
      </x:c>
      <x:c r="G4" s="28" t="str">
        <x:v>P1</x:v>
      </x:c>
      <x:c r="H4" s="28" t="str">
        <x:v>Как определяется, кто будет ходить первым?</x:v>
      </x:c>
      <x:c r="I4" s="28" t="str">
        <x:v>Игроки бросают кубик; игрок с большим результатом выбирает, будет он первым или вторым.</x:v>
      </x:c>
      <x:c r="J4" s="28" t="str">
        <x:v>Бросок кубика; больший результат даёт право выбора первого/второго игрока.</x:v>
      </x:c>
      <x:c r="K4" s="28" t="str"/>
      <x:c r="L4" s="28" t="str">
        <x:v>answerable</x:v>
      </x:c>
      <x:c r="M4" s="28" t="str">
        <x:v>rules_query</x:v>
      </x:c>
      <x:c r="N4" s="28" t="str">
        <x:v>rules</x:v>
      </x:c>
      <x:c r="O4" s="28" t="str">
        <x:v>SRC-001</x:v>
      </x:c>
      <x:c r="P4" s="28" t="str">
        <x:v>Да</x:v>
      </x:c>
      <x:c r="Q4" s="28" t="str">
        <x:v>Нет</x:v>
      </x:c>
      <x:c r="R4" s="28" t="str"/>
      <x:c r="S4" s="28" t="str"/>
      <x:c r="T4" s="28" t="str">
        <x:v>NOT_RUN</x:v>
      </x:c>
      <x:c r="U4" s="28" t="str"/>
      <x:c r="V4" s="28" t="str"/>
      <x:c r="W4" s="28" t="str"/>
      <x:c r="X4" s="28" t="str"/>
      <x:c r="Y4" s="28"/>
    </x:row>
    <x:row r="5">
      <x:c r="A5" s="28" t="str">
        <x:v>RUL-004</x:v>
      </x:c>
      <x:c r="B5" s="28" t="str">
        <x:v>1.0</x:v>
      </x:c>
      <x:c r="C5" s="28" t="str">
        <x:v>gold_seed</x:v>
      </x:c>
      <x:c r="D5" s="28" t="str">
        <x:v>Rules_Basic</x:v>
      </x:c>
      <x:c r="E5" s="28" t="str">
        <x:v>Squad resources</x:v>
      </x:c>
      <x:c r="F5" s="28" t="str">
        <x:v>medium</x:v>
      </x:c>
      <x:c r="G5" s="28" t="str">
        <x:v>P1</x:v>
      </x:c>
      <x:c r="H5" s="28" t="str">
        <x:v>Сколько золотых и серебряных кристаллов получают Первый и Второй игрок при формировании отряда?</x:v>
      </x:c>
      <x:c r="I5" s="28" t="str">
        <x:v>Первый игрок получает 24 золотых и 22 серебряных; Второй — 25 золотых и 23 серебряных.</x:v>
      </x:c>
      <x:c r="J5" s="28" t="str">
        <x:v>Первый: 24 золота + 22 серебра; Второй: 25 золота + 23 серебра.</x:v>
      </x:c>
      <x:c r="K5" s="28" t="str"/>
      <x:c r="L5" s="28" t="str">
        <x:v>answerable</x:v>
      </x:c>
      <x:c r="M5" s="28" t="str">
        <x:v>rules_query</x:v>
      </x:c>
      <x:c r="N5" s="28" t="str">
        <x:v>rules</x:v>
      </x:c>
      <x:c r="O5" s="28" t="str">
        <x:v>SRC-001</x:v>
      </x:c>
      <x:c r="P5" s="28" t="str">
        <x:v>Да</x:v>
      </x:c>
      <x:c r="Q5" s="28" t="str">
        <x:v>Нет</x:v>
      </x:c>
      <x:c r="R5" s="28" t="str"/>
      <x:c r="S5" s="28" t="str"/>
      <x:c r="T5" s="28" t="str">
        <x:v>NOT_RUN</x:v>
      </x:c>
      <x:c r="U5" s="28" t="str"/>
      <x:c r="V5" s="28" t="str"/>
      <x:c r="W5" s="28" t="str"/>
      <x:c r="X5" s="28" t="str"/>
      <x:c r="Y5" s="28"/>
    </x:row>
    <x:row r="6">
      <x:c r="A6" s="28" t="str">
        <x:v>RUL-005</x:v>
      </x:c>
      <x:c r="B6" s="28" t="str">
        <x:v>1.0</x:v>
      </x:c>
      <x:c r="C6" s="28" t="str">
        <x:v>gold_seed</x:v>
      </x:c>
      <x:c r="D6" s="28" t="str">
        <x:v>Rules_Basic</x:v>
      </x:c>
      <x:c r="E6" s="28" t="str">
        <x:v>Initial hand</x:v>
      </x:c>
      <x:c r="F6" s="28" t="str">
        <x:v>medium</x:v>
      </x:c>
      <x:c r="G6" s="28" t="str">
        <x:v>P1</x:v>
      </x:c>
      <x:c r="H6" s="28" t="str">
        <x:v>Сколько карт игрок берёт в раздачу и как работает пересдача?</x:v>
      </x:c>
      <x:c r="I6" s="28" t="str">
        <x:v>Игрок берёт 15 карт. Если раздача не устраивает, он может замешать её обратно и снова взять 15; каждая пересдача стоит 1 золотой кристалл.</x:v>
      </x:c>
      <x:c r="J6" s="28" t="str">
        <x:v>Раздача: 15 карт; пересдача всей раздачи; стоимость пересдачи — 1 золотой кристалл.</x:v>
      </x:c>
      <x:c r="K6" s="28" t="str"/>
      <x:c r="L6" s="28" t="str">
        <x:v>answerable</x:v>
      </x:c>
      <x:c r="M6" s="28" t="str">
        <x:v>rules_query</x:v>
      </x:c>
      <x:c r="N6" s="28" t="str">
        <x:v>rules</x:v>
      </x:c>
      <x:c r="O6" s="28" t="str">
        <x:v>SRC-001</x:v>
      </x:c>
      <x:c r="P6" s="28" t="str">
        <x:v>Да</x:v>
      </x:c>
      <x:c r="Q6" s="28" t="str">
        <x:v>Нет</x:v>
      </x:c>
      <x:c r="R6" s="28" t="str"/>
      <x:c r="S6" s="28" t="str"/>
      <x:c r="T6" s="28" t="str">
        <x:v>NOT_RUN</x:v>
      </x:c>
      <x:c r="U6" s="28" t="str"/>
      <x:c r="V6" s="28" t="str"/>
      <x:c r="W6" s="28" t="str"/>
      <x:c r="X6" s="28" t="str"/>
      <x:c r="Y6" s="28"/>
    </x:row>
    <x:row r="7">
      <x:c r="A7" s="28" t="str">
        <x:v>RUL-006</x:v>
      </x:c>
      <x:c r="B7" s="28" t="str">
        <x:v>1.0</x:v>
      </x:c>
      <x:c r="C7" s="28" t="str">
        <x:v>gold_seed</x:v>
      </x:c>
      <x:c r="D7" s="28" t="str">
        <x:v>Rules_Basic</x:v>
      </x:c>
      <x:c r="E7" s="28" t="str">
        <x:v>Flying squad limit</x:v>
      </x:c>
      <x:c r="F7" s="28" t="str">
        <x:v>medium</x:v>
      </x:c>
      <x:c r="G7" s="28" t="str">
        <x:v>P1</x:v>
      </x:c>
      <x:c r="H7" s="28" t="str">
        <x:v>Есть ли ограничение на стоимость летающих существ при наборе отряда?</x:v>
      </x:c>
      <x:c r="I7" s="28" t="str">
        <x:v>Да. При наборе отряда нельзя суммарно потратить на летающих существ больше 15 кристаллов.</x:v>
      </x:c>
      <x:c r="J7" s="28" t="str">
        <x:v>Суммарный лимит на летающих существ — 15 кристаллов.</x:v>
      </x:c>
      <x:c r="K7" s="28" t="str"/>
      <x:c r="L7" s="28" t="str">
        <x:v>answerable</x:v>
      </x:c>
      <x:c r="M7" s="28" t="str">
        <x:v>rules_query</x:v>
      </x:c>
      <x:c r="N7" s="28" t="str">
        <x:v>rules</x:v>
      </x:c>
      <x:c r="O7" s="28" t="str">
        <x:v>SRC-001</x:v>
      </x:c>
      <x:c r="P7" s="28" t="str">
        <x:v>Да</x:v>
      </x:c>
      <x:c r="Q7" s="28" t="str">
        <x:v>Нет</x:v>
      </x:c>
      <x:c r="R7" s="28" t="str"/>
      <x:c r="S7" s="28" t="str"/>
      <x:c r="T7" s="28" t="str">
        <x:v>NOT_RUN</x:v>
      </x:c>
      <x:c r="U7" s="28" t="str"/>
      <x:c r="V7" s="28" t="str"/>
      <x:c r="W7" s="28" t="str"/>
      <x:c r="X7" s="28" t="str"/>
      <x:c r="Y7" s="28"/>
    </x:row>
    <x:row r="8">
      <x:c r="A8" s="28" t="str">
        <x:v>RUL-007</x:v>
      </x:c>
      <x:c r="B8" s="28" t="str">
        <x:v>1.0</x:v>
      </x:c>
      <x:c r="C8" s="28" t="str">
        <x:v>gold_seed</x:v>
      </x:c>
      <x:c r="D8" s="28" t="str">
        <x:v>Rules_Basic</x:v>
      </x:c>
      <x:c r="E8" s="28" t="str">
        <x:v>Elements penalty</x:v>
      </x:c>
      <x:c r="F8" s="28" t="str">
        <x:v>medium</x:v>
      </x:c>
      <x:c r="G8" s="28" t="str">
        <x:v>P1</x:v>
      </x:c>
      <x:c r="H8" s="28" t="str">
        <x:v>Какой штраф получает игрок за несколько стихий в отряде?</x:v>
      </x:c>
      <x:c r="I8" s="28" t="str">
        <x:v>За каждую дополнительную стихию сверх первой игрок получает штраф в 1 золотой кристалл; нейтральные карты стихией не считаются.</x:v>
      </x:c>
      <x:c r="J8" s="28" t="str">
        <x:v>Каждая дополнительная стихия: −1 золотой кристалл; нейтральные карты не имеют стихии.</x:v>
      </x:c>
      <x:c r="K8" s="28" t="str"/>
      <x:c r="L8" s="28" t="str">
        <x:v>answerable</x:v>
      </x:c>
      <x:c r="M8" s="28" t="str">
        <x:v>rules_query</x:v>
      </x:c>
      <x:c r="N8" s="28" t="str">
        <x:v>rules</x:v>
      </x:c>
      <x:c r="O8" s="28" t="str">
        <x:v>SRC-001</x:v>
      </x:c>
      <x:c r="P8" s="28" t="str">
        <x:v>Да</x:v>
      </x:c>
      <x:c r="Q8" s="28" t="str">
        <x:v>Нет</x:v>
      </x:c>
      <x:c r="R8" s="28" t="str"/>
      <x:c r="S8" s="28" t="str"/>
      <x:c r="T8" s="28" t="str">
        <x:v>NOT_RUN</x:v>
      </x:c>
      <x:c r="U8" s="28" t="str"/>
      <x:c r="V8" s="28" t="str"/>
      <x:c r="W8" s="28" t="str"/>
      <x:c r="X8" s="28" t="str"/>
      <x:c r="Y8" s="28"/>
    </x:row>
    <x:row r="9">
      <x:c r="A9" s="28" t="str">
        <x:v>RUL-008</x:v>
      </x:c>
      <x:c r="B9" s="28" t="str">
        <x:v>1.0</x:v>
      </x:c>
      <x:c r="C9" s="28" t="str">
        <x:v>gold_seed</x:v>
      </x:c>
      <x:c r="D9" s="28" t="str">
        <x:v>Rules_Basic</x:v>
      </x:c>
      <x:c r="E9" s="28" t="str">
        <x:v>Battlefield</x:v>
      </x:c>
      <x:c r="F9" s="28" t="str">
        <x:v>easy</x:v>
      </x:c>
      <x:c r="G9" s="28" t="str">
        <x:v>P1</x:v>
      </x:c>
      <x:c r="H9" s="28" t="str">
        <x:v>Какого размера поле боя в «Берсерке»?</x:v>
      </x:c>
      <x:c r="I9" s="28" t="str">
        <x:v>Поле боя — 6 рядов по 5 клеток, то есть 30 клеток.</x:v>
      </x:c>
      <x:c r="J9" s="28" t="str">
        <x:v>6 рядов × 5 клеток.</x:v>
      </x:c>
      <x:c r="K9" s="28" t="str"/>
      <x:c r="L9" s="28" t="str">
        <x:v>answerable</x:v>
      </x:c>
      <x:c r="M9" s="28" t="str">
        <x:v>rules_query</x:v>
      </x:c>
      <x:c r="N9" s="28" t="str">
        <x:v>rules</x:v>
      </x:c>
      <x:c r="O9" s="28" t="str">
        <x:v>SRC-001</x:v>
      </x:c>
      <x:c r="P9" s="28" t="str">
        <x:v>Да</x:v>
      </x:c>
      <x:c r="Q9" s="28" t="str">
        <x:v>Нет</x:v>
      </x:c>
      <x:c r="R9" s="28" t="str"/>
      <x:c r="S9" s="28" t="str"/>
      <x:c r="T9" s="28" t="str">
        <x:v>NOT_RUN</x:v>
      </x:c>
      <x:c r="U9" s="28" t="str"/>
      <x:c r="V9" s="28" t="str"/>
      <x:c r="W9" s="28" t="str"/>
      <x:c r="X9" s="28" t="str"/>
      <x:c r="Y9" s="28"/>
    </x:row>
    <x:row r="10">
      <x:c r="A10" s="28" t="str">
        <x:v>RUL-009</x:v>
      </x:c>
      <x:c r="B10" s="28" t="str">
        <x:v>1.0</x:v>
      </x:c>
      <x:c r="C10" s="28" t="str">
        <x:v>gold_seed</x:v>
      </x:c>
      <x:c r="D10" s="28" t="str">
        <x:v>Rules_Basic</x:v>
      </x:c>
      <x:c r="E10" s="28" t="str">
        <x:v>Deployment first player</x:v>
      </x:c>
      <x:c r="F10" s="28" t="str">
        <x:v>hard</x:v>
      </x:c>
      <x:c r="G10" s="28" t="str">
        <x:v>P1</x:v>
      </x:c>
      <x:c r="H10" s="28" t="str">
        <x:v>Куда Первый игрок может ставить карты при первоначальной расстановке?</x:v>
      </x:c>
      <x:c r="I10" s="28" t="str">
        <x:v>Сначала Первый игрок использует центральную зону своей половины поля 3×3. После её заполнения может занимать оставшиеся клетки второго и третьего рядов; свободные клетки первого ряда — в последнюю очередь.</x:v>
      </x:c>
      <x:c r="J10" s="28" t="str">
        <x:v>Стартовая зона Первого: центральные 3×3; затем оставшиеся клетки 2–3 рядов; первый ряд — последним.</x:v>
      </x:c>
      <x:c r="K10" s="28" t="str"/>
      <x:c r="L10" s="28" t="str">
        <x:v>answerable</x:v>
      </x:c>
      <x:c r="M10" s="28" t="str">
        <x:v>rules_query</x:v>
      </x:c>
      <x:c r="N10" s="28" t="str">
        <x:v>rules</x:v>
      </x:c>
      <x:c r="O10" s="28" t="str">
        <x:v>SRC-001</x:v>
      </x:c>
      <x:c r="P10" s="28" t="str">
        <x:v>Да</x:v>
      </x:c>
      <x:c r="Q10" s="28" t="str">
        <x:v>Нет</x:v>
      </x:c>
      <x:c r="R10" s="28" t="str"/>
      <x:c r="S10" s="28" t="str"/>
      <x:c r="T10" s="28" t="str">
        <x:v>NOT_RUN</x:v>
      </x:c>
      <x:c r="U10" s="28" t="str"/>
      <x:c r="V10" s="28" t="str"/>
      <x:c r="W10" s="28" t="str"/>
      <x:c r="X10" s="28" t="str"/>
      <x:c r="Y10" s="28"/>
    </x:row>
    <x:row r="11">
      <x:c r="A11" s="28" t="str">
        <x:v>RUL-010</x:v>
      </x:c>
      <x:c r="B11" s="28" t="str">
        <x:v>1.0</x:v>
      </x:c>
      <x:c r="C11" s="28" t="str">
        <x:v>gold_seed</x:v>
      </x:c>
      <x:c r="D11" s="28" t="str">
        <x:v>Rules_Basic</x:v>
      </x:c>
      <x:c r="E11" s="28" t="str">
        <x:v>Deployment second player</x:v>
      </x:c>
      <x:c r="F11" s="28" t="str">
        <x:v>hard</x:v>
      </x:c>
      <x:c r="G11" s="28" t="str">
        <x:v>P1</x:v>
      </x:c>
      <x:c r="H11" s="28" t="str">
        <x:v>Какие клетки доступны Второму игроку при первоначальной расстановке?</x:v>
      </x:c>
      <x:c r="I11" s="28" t="str">
        <x:v>Второй игрок может использовать все 5 клеток своего первого ряда и центральные клетки второго и третьего рядов; после их заполнения — остальные свободные клетки второго и третьего рядов.</x:v>
      </x:c>
      <x:c r="J11" s="28" t="str">
        <x:v>Второй: весь 1-й ряд + центральные клетки 2–3 рядов; затем остальные клетки 2–3 рядов.</x:v>
      </x:c>
      <x:c r="K11" s="28" t="str"/>
      <x:c r="L11" s="28" t="str">
        <x:v>answerable</x:v>
      </x:c>
      <x:c r="M11" s="28" t="str">
        <x:v>rules_query</x:v>
      </x:c>
      <x:c r="N11" s="28" t="str">
        <x:v>rules</x:v>
      </x:c>
      <x:c r="O11" s="28" t="str">
        <x:v>SRC-001</x:v>
      </x:c>
      <x:c r="P11" s="28" t="str">
        <x:v>Да</x:v>
      </x:c>
      <x:c r="Q11" s="28" t="str">
        <x:v>Нет</x:v>
      </x:c>
      <x:c r="R11" s="28" t="str"/>
      <x:c r="S11" s="28" t="str"/>
      <x:c r="T11" s="28" t="str">
        <x:v>NOT_RUN</x:v>
      </x:c>
      <x:c r="U11" s="28" t="str"/>
      <x:c r="V11" s="28" t="str"/>
      <x:c r="W11" s="28" t="str"/>
      <x:c r="X11" s="28" t="str"/>
      <x:c r="Y11" s="28"/>
    </x:row>
    <x:row r="12">
      <x:c r="A12" s="28" t="str">
        <x:v>RUL-011</x:v>
      </x:c>
      <x:c r="B12" s="28" t="str">
        <x:v>1.0</x:v>
      </x:c>
      <x:c r="C12" s="28" t="str">
        <x:v>gold_seed</x:v>
      </x:c>
      <x:c r="D12" s="28" t="str">
        <x:v>Rules_Basic</x:v>
      </x:c>
      <x:c r="E12" s="28" t="str">
        <x:v>Reveal</x:v>
      </x:c>
      <x:c r="F12" s="28" t="str">
        <x:v>medium</x:v>
      </x:c>
      <x:c r="G12" s="28" t="str">
        <x:v>P1</x:v>
      </x:c>
      <x:c r="H12" s="28" t="str">
        <x:v>Когда Второй игрок обязан вскрыть карты своего третьего ряда?</x:v>
      </x:c>
      <x:c r="I12" s="28" t="str">
        <x:v>Он может оставить их закрытыми до начала своего первого хода; в начале этого хода вскрывает все карты третьего ряда. Скрытая карта также вскрывается раньше, если действует или становится целью по правилам.</x:v>
      </x:c>
      <x:c r="J12" s="28" t="str">
        <x:v>Третий ряд Второго можно не вскрывать до начала его хода; затем он вскрывается.</x:v>
      </x:c>
      <x:c r="K12" s="28" t="str"/>
      <x:c r="L12" s="28" t="str">
        <x:v>answerable</x:v>
      </x:c>
      <x:c r="M12" s="28" t="str">
        <x:v>rules_query</x:v>
      </x:c>
      <x:c r="N12" s="28" t="str">
        <x:v>rules</x:v>
      </x:c>
      <x:c r="O12" s="28" t="str">
        <x:v>SRC-001</x:v>
      </x:c>
      <x:c r="P12" s="28" t="str">
        <x:v>Да</x:v>
      </x:c>
      <x:c r="Q12" s="28" t="str">
        <x:v>Нет</x:v>
      </x:c>
      <x:c r="R12" s="28" t="str"/>
      <x:c r="S12" s="28" t="str"/>
      <x:c r="T12" s="28" t="str">
        <x:v>NOT_RUN</x:v>
      </x:c>
      <x:c r="U12" s="28" t="str"/>
      <x:c r="V12" s="28" t="str"/>
      <x:c r="W12" s="28" t="str"/>
      <x:c r="X12" s="28" t="str"/>
      <x:c r="Y12" s="28"/>
    </x:row>
    <x:row r="13">
      <x:c r="A13" s="28" t="str">
        <x:v>RUL-012</x:v>
      </x:c>
      <x:c r="B13" s="28" t="str">
        <x:v>1.0</x:v>
      </x:c>
      <x:c r="C13" s="28" t="str">
        <x:v>gold_seed</x:v>
      </x:c>
      <x:c r="D13" s="28" t="str">
        <x:v>Rules_Basic</x:v>
      </x:c>
      <x:c r="E13" s="28" t="str">
        <x:v>Movement</x:v>
      </x:c>
      <x:c r="F13" s="28" t="str">
        <x:v>easy</x:v>
      </x:c>
      <x:c r="G13" s="28" t="str">
        <x:v>P1</x:v>
      </x:c>
      <x:c r="H13" s="28" t="str">
        <x:v>Можно ли двигаться по диагонали или меняться местами с другой картой?</x:v>
      </x:c>
      <x:c r="I13" s="28" t="str">
        <x:v>Нет. Движение выполняется вперёд, назад, вправо или влево только на свободную клетку; по диагонали двигаться и меняться местами нельзя.</x:v>
      </x:c>
      <x:c r="J13" s="28" t="str">
        <x:v>Только ортогональное движение; только на свободную клетку; диагональ и обмен местами запрещены.</x:v>
      </x:c>
      <x:c r="K13" s="28" t="str"/>
      <x:c r="L13" s="28" t="str">
        <x:v>answerable</x:v>
      </x:c>
      <x:c r="M13" s="28" t="str">
        <x:v>rules_query</x:v>
      </x:c>
      <x:c r="N13" s="28" t="str">
        <x:v>rules</x:v>
      </x:c>
      <x:c r="O13" s="28" t="str">
        <x:v>SRC-001</x:v>
      </x:c>
      <x:c r="P13" s="28" t="str">
        <x:v>Да</x:v>
      </x:c>
      <x:c r="Q13" s="28" t="str">
        <x:v>Нет</x:v>
      </x:c>
      <x:c r="R13" s="28" t="str"/>
      <x:c r="S13" s="28" t="str"/>
      <x:c r="T13" s="28" t="str">
        <x:v>NOT_RUN</x:v>
      </x:c>
      <x:c r="U13" s="28" t="str"/>
      <x:c r="V13" s="28" t="str"/>
      <x:c r="W13" s="28" t="str"/>
      <x:c r="X13" s="28" t="str"/>
      <x:c r="Y13" s="28"/>
    </x:row>
    <x:row r="14">
      <x:c r="A14" s="28" t="str">
        <x:v>RUL-013</x:v>
      </x:c>
      <x:c r="B14" s="28" t="str">
        <x:v>1.0</x:v>
      </x:c>
      <x:c r="C14" s="28" t="str">
        <x:v>gold_seed</x:v>
      </x:c>
      <x:c r="D14" s="28" t="str">
        <x:v>Rules_Basic</x:v>
      </x:c>
      <x:c r="E14" s="28" t="str">
        <x:v>Actions</x:v>
      </x:c>
      <x:c r="F14" s="28" t="str">
        <x:v>medium</x:v>
      </x:c>
      <x:c r="G14" s="28" t="str">
        <x:v>P1</x:v>
      </x:c>
      <x:c r="H14" s="28" t="str">
        <x:v>Какие базовые действия может совершить открытое существо?</x:v>
      </x:c>
      <x:c r="I14" s="28" t="str">
        <x:v>Оно может атаковать простым ударом, выступить защитником от простого удара в ход противника, использовать соответствующую особенность за действие или получить фишку при наличии такой особенности.</x:v>
      </x:c>
      <x:c r="J14" s="28" t="str">
        <x:v>Простой удар; защита в ход противника; активная особенность; получение фишки при наличии соответствующего текста.</x:v>
      </x:c>
      <x:c r="K14" s="28" t="str"/>
      <x:c r="L14" s="28" t="str">
        <x:v>answerable</x:v>
      </x:c>
      <x:c r="M14" s="28" t="str">
        <x:v>rules_query</x:v>
      </x:c>
      <x:c r="N14" s="28" t="str">
        <x:v>rules</x:v>
      </x:c>
      <x:c r="O14" s="28" t="str">
        <x:v>SRC-001</x:v>
      </x:c>
      <x:c r="P14" s="28" t="str">
        <x:v>Да</x:v>
      </x:c>
      <x:c r="Q14" s="28" t="str">
        <x:v>Нет</x:v>
      </x:c>
      <x:c r="R14" s="28" t="str"/>
      <x:c r="S14" s="28" t="str"/>
      <x:c r="T14" s="28" t="str">
        <x:v>NOT_RUN</x:v>
      </x:c>
      <x:c r="U14" s="28" t="str"/>
      <x:c r="V14" s="28" t="str"/>
      <x:c r="W14" s="28" t="str"/>
      <x:c r="X14" s="28" t="str"/>
      <x:c r="Y14" s="28"/>
    </x:row>
    <x:row r="15">
      <x:c r="A15" s="28" t="str">
        <x:v>RUL-014</x:v>
      </x:c>
      <x:c r="B15" s="28" t="str">
        <x:v>1.0</x:v>
      </x:c>
      <x:c r="C15" s="28" t="str">
        <x:v>gold_seed</x:v>
      </x:c>
      <x:c r="D15" s="28" t="str">
        <x:v>Rules_Basic</x:v>
      </x:c>
      <x:c r="E15" s="28" t="str">
        <x:v>Closed card</x:v>
      </x:c>
      <x:c r="F15" s="28" t="str">
        <x:v>easy</x:v>
      </x:c>
      <x:c r="G15" s="28" t="str">
        <x:v>P1</x:v>
      </x:c>
      <x:c r="H15" s="28" t="str">
        <x:v>Что происходит с картой после совершения действия и что может закрытая карта?</x:v>
      </x:c>
      <x:c r="I15" s="28" t="str">
        <x:v>После действия карта закрывается и теряет возможность двигаться; закрытые карты не могут двигаться или действовать. Обычно они открываются в начале своего хода.</x:v>
      </x:c>
      <x:c r="J15" s="28" t="str">
        <x:v>После действия карта закрывается; закрытая карта не двигается и не действует; открывается в начале своего хода.</x:v>
      </x:c>
      <x:c r="K15" s="28" t="str"/>
      <x:c r="L15" s="28" t="str">
        <x:v>answerable</x:v>
      </x:c>
      <x:c r="M15" s="28" t="str">
        <x:v>rules_query</x:v>
      </x:c>
      <x:c r="N15" s="28" t="str">
        <x:v>rules</x:v>
      </x:c>
      <x:c r="O15" s="28" t="str">
        <x:v>SRC-001</x:v>
      </x:c>
      <x:c r="P15" s="28" t="str">
        <x:v>Да</x:v>
      </x:c>
      <x:c r="Q15" s="28" t="str">
        <x:v>Нет</x:v>
      </x:c>
      <x:c r="R15" s="28" t="str"/>
      <x:c r="S15" s="28" t="str"/>
      <x:c r="T15" s="28" t="str">
        <x:v>NOT_RUN</x:v>
      </x:c>
      <x:c r="U15" s="28" t="str"/>
      <x:c r="V15" s="28" t="str"/>
      <x:c r="W15" s="28" t="str"/>
      <x:c r="X15" s="28" t="str"/>
      <x:c r="Y15" s="28"/>
    </x:row>
    <x:row r="16">
      <x:c r="A16" s="28" t="str">
        <x:v>RUL-015</x:v>
      </x:c>
      <x:c r="B16" s="28" t="str">
        <x:v>1.0</x:v>
      </x:c>
      <x:c r="C16" s="28" t="str">
        <x:v>gold_seed</x:v>
      </x:c>
      <x:c r="D16" s="28" t="str">
        <x:v>Rules_Basic</x:v>
      </x:c>
      <x:c r="E16" s="28" t="str">
        <x:v>Simple strike adjacency</x:v>
      </x:c>
      <x:c r="F16" s="28" t="str">
        <x:v>easy</x:v>
      </x:c>
      <x:c r="G16" s="28" t="str">
        <x:v>P1</x:v>
      </x:c>
      <x:c r="H16" s="28" t="str">
        <x:v>По каким картам можно объявить простой удар?</x:v>
      </x:c>
      <x:c r="I16" s="28" t="str">
        <x:v>Простым ударом можно атаковать только стоящую рядом карту, включая расположенную по диагонали.</x:v>
      </x:c>
      <x:c r="J16" s="28" t="str">
        <x:v>Цель простого удара должна стоять рядом; диагональная соседняя клетка считается рядом.</x:v>
      </x:c>
      <x:c r="K16" s="28" t="str"/>
      <x:c r="L16" s="28" t="str">
        <x:v>answerable</x:v>
      </x:c>
      <x:c r="M16" s="28" t="str">
        <x:v>rules_query</x:v>
      </x:c>
      <x:c r="N16" s="28" t="str">
        <x:v>rules</x:v>
      </x:c>
      <x:c r="O16" s="28" t="str">
        <x:v>SRC-001</x:v>
      </x:c>
      <x:c r="P16" s="28" t="str">
        <x:v>Да</x:v>
      </x:c>
      <x:c r="Q16" s="28" t="str">
        <x:v>Нет</x:v>
      </x:c>
      <x:c r="R16" s="28" t="str"/>
      <x:c r="S16" s="28" t="str"/>
      <x:c r="T16" s="28" t="str">
        <x:v>NOT_RUN</x:v>
      </x:c>
      <x:c r="U16" s="28" t="str"/>
      <x:c r="V16" s="28" t="str"/>
      <x:c r="W16" s="28" t="str"/>
      <x:c r="X16" s="28" t="str"/>
      <x:c r="Y16" s="28"/>
    </x:row>
    <x:row r="17">
      <x:c r="A17" s="28" t="str">
        <x:v>MEC-001</x:v>
      </x:c>
      <x:c r="B17" s="28" t="str">
        <x:v>1.0</x:v>
      </x:c>
      <x:c r="C17" s="28" t="str">
        <x:v>gold_seed</x:v>
      </x:c>
      <x:c r="D17" s="28" t="str">
        <x:v>Mechanics_Glossary</x:v>
      </x:c>
      <x:c r="E17" s="28" t="str">
        <x:v>Armor</x:v>
      </x:c>
      <x:c r="F17" s="28" t="str">
        <x:v>medium</x:v>
      </x:c>
      <x:c r="G17" s="28" t="str">
        <x:v>P1</x:v>
      </x:c>
      <x:c r="H17" s="28" t="str">
        <x:v>Как работает «Броня X»?</x:v>
      </x:c>
      <x:c r="I17" s="28" t="str">
        <x:v>Карта с Бронёй X не получает первые X ран от немагических атак в течение каждого хода — как своего, так и хода противника.</x:v>
      </x:c>
      <x:c r="J17" s="28" t="str">
        <x:v>Броня X предотвращает первые X ран от немагических атак в каждом ходу.</x:v>
      </x:c>
      <x:c r="K17" s="28" t="str"/>
      <x:c r="L17" s="28" t="str">
        <x:v>answerable</x:v>
      </x:c>
      <x:c r="M17" s="28" t="str">
        <x:v>mechanic_query</x:v>
      </x:c>
      <x:c r="N17" s="28" t="str">
        <x:v>glossary</x:v>
      </x:c>
      <x:c r="O17" s="28" t="str">
        <x:v>SRC-002</x:v>
      </x:c>
      <x:c r="P17" s="28" t="str">
        <x:v>Да</x:v>
      </x:c>
      <x:c r="Q17" s="28" t="str">
        <x:v>Нет</x:v>
      </x:c>
      <x:c r="R17" s="28" t="str"/>
      <x:c r="S17" s="28" t="str"/>
      <x:c r="T17" s="28" t="str">
        <x:v>NOT_RUN</x:v>
      </x:c>
      <x:c r="U17" s="28" t="str"/>
      <x:c r="V17" s="28" t="str"/>
      <x:c r="W17" s="28" t="str"/>
      <x:c r="X17" s="28" t="str"/>
      <x:c r="Y17" s="28"/>
    </x:row>
    <x:row r="18">
      <x:c r="A18" s="28" t="str">
        <x:v>MEC-002</x:v>
      </x:c>
      <x:c r="B18" s="28" t="str">
        <x:v>1.0</x:v>
      </x:c>
      <x:c r="C18" s="28" t="str">
        <x:v>gold_seed</x:v>
      </x:c>
      <x:c r="D18" s="28" t="str">
        <x:v>Mechanics_Glossary</x:v>
      </x:c>
      <x:c r="E18" s="28" t="str">
        <x:v>Incorporeal</x:v>
      </x:c>
      <x:c r="F18" s="28" t="str">
        <x:v>hard</x:v>
      </x:c>
      <x:c r="G18" s="28" t="str">
        <x:v>P1</x:v>
      </x:c>
      <x:c r="H18" s="28" t="str">
        <x:v>Что происходит с бестелесной картой, когда она должна погибнуть?</x:v>
      </x:c>
      <x:c r="I18" s="28" t="str">
        <x:v>Вместо гибели бестелесная карта изгоняется.</x:v>
      </x:c>
      <x:c r="J18" s="28" t="str">
        <x:v>Бестелесная карта при событии гибели изгоняется вместо помещения на кладбище как погибшая.</x:v>
      </x:c>
      <x:c r="K18" s="28" t="str"/>
      <x:c r="L18" s="28" t="str">
        <x:v>answerable</x:v>
      </x:c>
      <x:c r="M18" s="28" t="str">
        <x:v>mechanic_query</x:v>
      </x:c>
      <x:c r="N18" s="28" t="str">
        <x:v>glossary</x:v>
      </x:c>
      <x:c r="O18" s="28" t="str">
        <x:v>SRC-002</x:v>
      </x:c>
      <x:c r="P18" s="28" t="str">
        <x:v>Да</x:v>
      </x:c>
      <x:c r="Q18" s="28" t="str">
        <x:v>Нет</x:v>
      </x:c>
      <x:c r="R18" s="28" t="str"/>
      <x:c r="S18" s="28" t="str"/>
      <x:c r="T18" s="28" t="str">
        <x:v>NOT_RUN</x:v>
      </x:c>
      <x:c r="U18" s="28" t="str"/>
      <x:c r="V18" s="28" t="str"/>
      <x:c r="W18" s="28" t="str"/>
      <x:c r="X18" s="28" t="str"/>
      <x:c r="Y18" s="28"/>
    </x:row>
    <x:row r="19">
      <x:c r="A19" s="28" t="str">
        <x:v>MEC-003</x:v>
      </x:c>
      <x:c r="B19" s="28" t="str">
        <x:v>1.0</x:v>
      </x:c>
      <x:c r="C19" s="28" t="str">
        <x:v>gold_seed</x:v>
      </x:c>
      <x:c r="D19" s="28" t="str">
        <x:v>Mechanics_Glossary</x:v>
      </x:c>
      <x:c r="E19" s="28" t="str">
        <x:v>Vampirism</x:v>
      </x:c>
      <x:c r="F19" s="28" t="str">
        <x:v>hard</x:v>
      </x:c>
      <x:c r="G19" s="28" t="str">
        <x:v>P1</x:v>
      </x:c>
      <x:c r="H19" s="28" t="str">
        <x:v>Как работает вампиризм при простом ударе?</x:v>
      </x:c>
      <x:c r="I19" s="28" t="str">
        <x:v>Когда существо с вампиризмом наносит X ран простым ударом небестелесному существу, оно излечивается на X, но не больше оставшихся жизней цели; избыток лечения после полного излечения превращается в дополнительные жизни по правилу глоссария.</x:v>
      </x:c>
      <x:c r="J19" s="28" t="str">
        <x:v>Триггер — раны простым ударом по небестелесному; лечение связано с фактически допустимой величиной и может дать дополнительные жизни.</x:v>
      </x:c>
      <x:c r="K19" s="28" t="str"/>
      <x:c r="L19" s="28" t="str">
        <x:v>answerable</x:v>
      </x:c>
      <x:c r="M19" s="28" t="str">
        <x:v>mechanic_query</x:v>
      </x:c>
      <x:c r="N19" s="28" t="str">
        <x:v>glossary</x:v>
      </x:c>
      <x:c r="O19" s="28" t="str">
        <x:v>SRC-002</x:v>
      </x:c>
      <x:c r="P19" s="28" t="str">
        <x:v>Да</x:v>
      </x:c>
      <x:c r="Q19" s="28" t="str">
        <x:v>Нет</x:v>
      </x:c>
      <x:c r="R19" s="28" t="str"/>
      <x:c r="S19" s="28" t="str"/>
      <x:c r="T19" s="28" t="str">
        <x:v>NOT_RUN</x:v>
      </x:c>
      <x:c r="U19" s="28" t="str"/>
      <x:c r="V19" s="28" t="str"/>
      <x:c r="W19" s="28" t="str"/>
      <x:c r="X19" s="28" t="str"/>
      <x:c r="Y19" s="28"/>
    </x:row>
    <x:row r="20">
      <x:c r="A20" s="28" t="str">
        <x:v>MEC-004</x:v>
      </x:c>
      <x:c r="B20" s="28" t="str">
        <x:v>1.0</x:v>
      </x:c>
      <x:c r="C20" s="28" t="str">
        <x:v>gold_seed</x:v>
      </x:c>
      <x:c r="D20" s="28" t="str">
        <x:v>Mechanics_Glossary</x:v>
      </x:c>
      <x:c r="E20" s="28" t="str">
        <x:v>Finishing</x:v>
      </x:c>
      <x:c r="F20" s="28" t="str">
        <x:v>medium</x:v>
      </x:c>
      <x:c r="G20" s="28" t="str">
        <x:v>P1</x:v>
      </x:c>
      <x:c r="H20" s="28" t="str">
        <x:v>Что означает «Добивание на X»?</x:v>
      </x:c>
      <x:c r="I20" s="28" t="str">
        <x:v>Это воздействие, которое уничтожает стоящее рядом небестелесное существо (кроме симбиотов), если у него осталось X или меньше жизней, без нанесения ран.</x:v>
      </x:c>
      <x:c r="J20" s="28" t="str">
        <x:v>Стоящая рядом цель; небестелесное существо; X или меньше жизней; уничтожение без ран; это воздействие.</x:v>
      </x:c>
      <x:c r="K20" s="28" t="str"/>
      <x:c r="L20" s="28" t="str">
        <x:v>answerable</x:v>
      </x:c>
      <x:c r="M20" s="28" t="str">
        <x:v>mechanic_query</x:v>
      </x:c>
      <x:c r="N20" s="28" t="str">
        <x:v>glossary</x:v>
      </x:c>
      <x:c r="O20" s="28" t="str">
        <x:v>SRC-002</x:v>
      </x:c>
      <x:c r="P20" s="28" t="str">
        <x:v>Да</x:v>
      </x:c>
      <x:c r="Q20" s="28" t="str">
        <x:v>Нет</x:v>
      </x:c>
      <x:c r="R20" s="28" t="str"/>
      <x:c r="S20" s="28" t="str"/>
      <x:c r="T20" s="28" t="str">
        <x:v>NOT_RUN</x:v>
      </x:c>
      <x:c r="U20" s="28" t="str"/>
      <x:c r="V20" s="28" t="str"/>
      <x:c r="W20" s="28" t="str"/>
      <x:c r="X20" s="28" t="str"/>
      <x:c r="Y20" s="28"/>
    </x:row>
    <x:row r="21">
      <x:c r="A21" s="28" t="str">
        <x:v>MEC-005</x:v>
      </x:c>
      <x:c r="B21" s="28" t="str">
        <x:v>1.0</x:v>
      </x:c>
      <x:c r="C21" s="28" t="str">
        <x:v>gold_seed</x:v>
      </x:c>
      <x:c r="D21" s="28" t="str">
        <x:v>Mechanics_Glossary</x:v>
      </x:c>
      <x:c r="E21" s="28" t="str">
        <x:v>Incarnation</x:v>
      </x:c>
      <x:c r="F21" s="28" t="str">
        <x:v>hard</x:v>
      </x:c>
      <x:c r="G21" s="28" t="str">
        <x:v>P1</x:v>
      </x:c>
      <x:c r="H21" s="28" t="str">
        <x:v>Как в общих чертах работает «Инкарнация X»?</x:v>
      </x:c>
      <x:c r="I21" s="28" t="str">
        <x:v>В начале вашего хода карта с Инкарнацией X на кладбище получает жетон инкарнации. При достижении X жетонов они снимаются, а карта возвращается закрытой в третий ряд; летающие — в дополнительную зону. Инкарнация используется один раз за бой.</x:v>
      </x:c>
      <x:c r="J21" s="28" t="str">
        <x:v>Жетоны на кладбище в начале хода; при X — возвращение; 1 раз за бой.</x:v>
      </x:c>
      <x:c r="K21" s="28" t="str"/>
      <x:c r="L21" s="28" t="str">
        <x:v>answerable</x:v>
      </x:c>
      <x:c r="M21" s="28" t="str">
        <x:v>mechanic_query</x:v>
      </x:c>
      <x:c r="N21" s="28" t="str">
        <x:v>glossary</x:v>
      </x:c>
      <x:c r="O21" s="28" t="str">
        <x:v>SRC-002</x:v>
      </x:c>
      <x:c r="P21" s="28" t="str">
        <x:v>Да</x:v>
      </x:c>
      <x:c r="Q21" s="28" t="str">
        <x:v>Нет</x:v>
      </x:c>
      <x:c r="R21" s="28" t="str"/>
      <x:c r="S21" s="28" t="str"/>
      <x:c r="T21" s="28" t="str">
        <x:v>NOT_RUN</x:v>
      </x:c>
      <x:c r="U21" s="28" t="str"/>
      <x:c r="V21" s="28" t="str"/>
      <x:c r="W21" s="28" t="str"/>
      <x:c r="X21" s="28" t="str"/>
      <x:c r="Y21" s="28"/>
    </x:row>
    <x:row r="22">
      <x:c r="A22" s="28" t="str">
        <x:v>MEC-006</x:v>
      </x:c>
      <x:c r="B22" s="28" t="str">
        <x:v>1.0</x:v>
      </x:c>
      <x:c r="C22" s="28" t="str">
        <x:v>gold_seed</x:v>
      </x:c>
      <x:c r="D22" s="28" t="str">
        <x:v>Mechanics_Glossary</x:v>
      </x:c>
      <x:c r="E22" s="28" t="str">
        <x:v>Horde</x:v>
      </x:c>
      <x:c r="F22" s="28" t="str">
        <x:v>easy</x:v>
      </x:c>
      <x:c r="G22" s="28" t="str">
        <x:v>P1</x:v>
      </x:c>
      <x:c r="H22" s="28" t="str">
        <x:v>Сколько копий карты с особенностью «Орда» может быть в колоде?</x:v>
      </x:c>
      <x:c r="I22" s="28" t="str">
        <x:v>До 5 копий включительно.</x:v>
      </x:c>
      <x:c r="J22" s="28" t="str">
        <x:v>Орда разрешает 5 или меньше копий карты в колоде.</x:v>
      </x:c>
      <x:c r="K22" s="28" t="str"/>
      <x:c r="L22" s="28" t="str">
        <x:v>answerable</x:v>
      </x:c>
      <x:c r="M22" s="28" t="str">
        <x:v>mechanic_query</x:v>
      </x:c>
      <x:c r="N22" s="28" t="str">
        <x:v>glossary</x:v>
      </x:c>
      <x:c r="O22" s="28" t="str">
        <x:v>SRC-002</x:v>
      </x:c>
      <x:c r="P22" s="28" t="str">
        <x:v>Да</x:v>
      </x:c>
      <x:c r="Q22" s="28" t="str">
        <x:v>Нет</x:v>
      </x:c>
      <x:c r="R22" s="28" t="str"/>
      <x:c r="S22" s="28" t="str"/>
      <x:c r="T22" s="28" t="str">
        <x:v>NOT_RUN</x:v>
      </x:c>
      <x:c r="U22" s="28" t="str"/>
      <x:c r="V22" s="28" t="str"/>
      <x:c r="W22" s="28" t="str"/>
      <x:c r="X22" s="28" t="str"/>
      <x:c r="Y22" s="28"/>
    </x:row>
    <x:row r="23">
      <x:c r="A23" s="28" t="str">
        <x:v>MEC-007</x:v>
      </x:c>
      <x:c r="B23" s="28" t="str">
        <x:v>1.0</x:v>
      </x:c>
      <x:c r="C23" s="28" t="str">
        <x:v>gold_seed</x:v>
      </x:c>
      <x:c r="D23" s="28" t="str">
        <x:v>Mechanics_Glossary</x:v>
      </x:c>
      <x:c r="E23" s="28" t="str">
        <x:v>Poison</x:v>
      </x:c>
      <x:c r="F23" s="28" t="str">
        <x:v>medium</x:v>
      </x:c>
      <x:c r="G23" s="28" t="str">
        <x:v>P1</x:v>
      </x:c>
      <x:c r="H23" s="28" t="str">
        <x:v>Когда и как наносит раны «Отравление на X»?</x:v>
      </x:c>
      <x:c r="I23" s="28" t="str">
        <x:v>В начале своего хода отравленное небестелесное существо ранится на X; величина отмечается маркерами отравления.</x:v>
      </x:c>
      <x:c r="J23" s="28" t="str">
        <x:v>Срабатывает в начале собственного хода; X ран; применимо к небестелесным существам.</x:v>
      </x:c>
      <x:c r="K23" s="28" t="str"/>
      <x:c r="L23" s="28" t="str">
        <x:v>answerable</x:v>
      </x:c>
      <x:c r="M23" s="28" t="str">
        <x:v>mechanic_query</x:v>
      </x:c>
      <x:c r="N23" s="28" t="str">
        <x:v>glossary</x:v>
      </x:c>
      <x:c r="O23" s="28" t="str">
        <x:v>SRC-002</x:v>
      </x:c>
      <x:c r="P23" s="28" t="str">
        <x:v>Да</x:v>
      </x:c>
      <x:c r="Q23" s="28" t="str">
        <x:v>Нет</x:v>
      </x:c>
      <x:c r="R23" s="28" t="str"/>
      <x:c r="S23" s="28" t="str"/>
      <x:c r="T23" s="28" t="str">
        <x:v>NOT_RUN</x:v>
      </x:c>
      <x:c r="U23" s="28" t="str"/>
      <x:c r="V23" s="28" t="str"/>
      <x:c r="W23" s="28" t="str"/>
      <x:c r="X23" s="28" t="str"/>
      <x:c r="Y23" s="28"/>
    </x:row>
    <x:row r="24">
      <x:c r="A24" s="28" t="str">
        <x:v>MEC-008</x:v>
      </x:c>
      <x:c r="B24" s="28" t="str">
        <x:v>1.0</x:v>
      </x:c>
      <x:c r="C24" s="28" t="str">
        <x:v>gold_seed</x:v>
      </x:c>
      <x:c r="D24" s="28" t="str">
        <x:v>Mechanics_Glossary</x:v>
      </x:c>
      <x:c r="E24" s="28" t="str">
        <x:v>Redirection</x:v>
      </x:c>
      <x:c r="F24" s="28" t="str">
        <x:v>hard</x:v>
      </x:c>
      <x:c r="G24" s="28" t="str">
        <x:v>P1</x:v>
      </x:c>
      <x:c r="H24" s="28" t="str">
        <x:v>Можно ли перенаправить атаку, которая уже была перенаправлена?</x:v>
      </x:c>
      <x:c r="I24" s="28" t="str">
        <x:v>Нет. Перенаправление меняет цель атаки и возможно только до бросков кубика; уже перенаправленную атаку перенаправить снова нельзя.</x:v>
      </x:c>
      <x:c r="J24" s="28" t="str">
        <x:v>До бросков; меняет цель; повторное перенаправление запрещено.</x:v>
      </x:c>
      <x:c r="K24" s="28" t="str"/>
      <x:c r="L24" s="28" t="str">
        <x:v>answerable</x:v>
      </x:c>
      <x:c r="M24" s="28" t="str">
        <x:v>mechanic_query</x:v>
      </x:c>
      <x:c r="N24" s="28" t="str">
        <x:v>glossary</x:v>
      </x:c>
      <x:c r="O24" s="28" t="str">
        <x:v>SRC-002</x:v>
      </x:c>
      <x:c r="P24" s="28" t="str">
        <x:v>Да</x:v>
      </x:c>
      <x:c r="Q24" s="28" t="str">
        <x:v>Нет</x:v>
      </x:c>
      <x:c r="R24" s="28" t="str"/>
      <x:c r="S24" s="28" t="str"/>
      <x:c r="T24" s="28" t="str">
        <x:v>NOT_RUN</x:v>
      </x:c>
      <x:c r="U24" s="28" t="str"/>
      <x:c r="V24" s="28" t="str"/>
      <x:c r="W24" s="28" t="str"/>
      <x:c r="X24" s="28" t="str"/>
      <x:c r="Y24" s="28"/>
    </x:row>
    <x:row r="25">
      <x:c r="A25" s="28" t="str">
        <x:v>MEC-009</x:v>
      </x:c>
      <x:c r="B25" s="28" t="str">
        <x:v>1.0</x:v>
      </x:c>
      <x:c r="C25" s="28" t="str">
        <x:v>gold_seed</x:v>
      </x:c>
      <x:c r="D25" s="28" t="str">
        <x:v>Mechanics_Glossary</x:v>
      </x:c>
      <x:c r="E25" s="28" t="str">
        <x:v>Jump</x:v>
      </x:c>
      <x:c r="F25" s="28" t="str">
        <x:v>medium</x:v>
      </x:c>
      <x:c r="G25" s="28" t="str">
        <x:v>P1</x:v>
      </x:c>
      <x:c r="H25" s="28" t="str">
        <x:v>Как работает «Прыжок, дальность X» и можно ли прыгнуть после обычного движения?</x:v>
      </x:c>
      <x:c r="I25" s="28" t="str">
        <x:v>Существо тратит все единицы движения и перемещается на любую незанятую клетку в пределах X по правилам дальности. Если оно уже двигалось в этот ход, использовать прыжок нельзя.</x:v>
      </x:c>
      <x:c r="J25" s="28" t="str">
        <x:v>Тратятся все единицы движения; свободная клетка в пределах X; после движения прыгать нельзя.</x:v>
      </x:c>
      <x:c r="K25" s="28" t="str"/>
      <x:c r="L25" s="28" t="str">
        <x:v>answerable</x:v>
      </x:c>
      <x:c r="M25" s="28" t="str">
        <x:v>mechanic_query</x:v>
      </x:c>
      <x:c r="N25" s="28" t="str">
        <x:v>glossary</x:v>
      </x:c>
      <x:c r="O25" s="28" t="str">
        <x:v>SRC-002</x:v>
      </x:c>
      <x:c r="P25" s="28" t="str">
        <x:v>Да</x:v>
      </x:c>
      <x:c r="Q25" s="28" t="str">
        <x:v>Нет</x:v>
      </x:c>
      <x:c r="R25" s="28" t="str"/>
      <x:c r="S25" s="28" t="str"/>
      <x:c r="T25" s="28" t="str">
        <x:v>NOT_RUN</x:v>
      </x:c>
      <x:c r="U25" s="28" t="str"/>
      <x:c r="V25" s="28" t="str"/>
      <x:c r="W25" s="28" t="str"/>
      <x:c r="X25" s="28" t="str"/>
      <x:c r="Y25" s="28"/>
    </x:row>
    <x:row r="26">
      <x:c r="A26" s="28" t="str">
        <x:v>MEC-010</x:v>
      </x:c>
      <x:c r="B26" s="28" t="str">
        <x:v>1.0</x:v>
      </x:c>
      <x:c r="C26" s="28" t="str">
        <x:v>gold_seed</x:v>
      </x:c>
      <x:c r="D26" s="28" t="str">
        <x:v>Mechanics_Glossary</x:v>
      </x:c>
      <x:c r="E26" s="28" t="str">
        <x:v>Regeneration</x:v>
      </x:c>
      <x:c r="F26" s="28" t="str">
        <x:v>easy</x:v>
      </x:c>
      <x:c r="G26" s="28" t="str">
        <x:v>P1</x:v>
      </x:c>
      <x:c r="H26" s="28" t="str">
        <x:v>Что делает «Регенерация X»?</x:v>
      </x:c>
      <x:c r="I26" s="28" t="str">
        <x:v>В начале своего хода небестелесное существо излечивается на X.</x:v>
      </x:c>
      <x:c r="J26" s="28" t="str">
        <x:v>В начале собственного хода: излечение на X; только небестелесное существо.</x:v>
      </x:c>
      <x:c r="K26" s="28" t="str"/>
      <x:c r="L26" s="28" t="str">
        <x:v>answerable</x:v>
      </x:c>
      <x:c r="M26" s="28" t="str">
        <x:v>mechanic_query</x:v>
      </x:c>
      <x:c r="N26" s="28" t="str">
        <x:v>glossary</x:v>
      </x:c>
      <x:c r="O26" s="28" t="str">
        <x:v>SRC-002</x:v>
      </x:c>
      <x:c r="P26" s="28" t="str">
        <x:v>Да</x:v>
      </x:c>
      <x:c r="Q26" s="28" t="str">
        <x:v>Нет</x:v>
      </x:c>
      <x:c r="R26" s="28" t="str"/>
      <x:c r="S26" s="28" t="str"/>
      <x:c r="T26" s="28" t="str">
        <x:v>NOT_RUN</x:v>
      </x:c>
      <x:c r="U26" s="28" t="str"/>
      <x:c r="V26" s="28" t="str"/>
      <x:c r="W26" s="28" t="str"/>
      <x:c r="X26" s="28" t="str"/>
      <x:c r="Y26" s="28"/>
    </x:row>
    <x:row r="27">
      <x:c r="A27" s="28" t="str">
        <x:v>MEC-011</x:v>
      </x:c>
      <x:c r="B27" s="28" t="str">
        <x:v>1.0</x:v>
      </x:c>
      <x:c r="C27" s="28" t="str">
        <x:v>gold_seed</x:v>
      </x:c>
      <x:c r="D27" s="28" t="str">
        <x:v>Mechanics_Glossary</x:v>
      </x:c>
      <x:c r="E27" s="28" t="str">
        <x:v>Formation</x:v>
      </x:c>
      <x:c r="F27" s="28" t="str">
        <x:v>medium</x:v>
      </x:c>
      <x:c r="G27" s="28" t="str">
        <x:v>P1</x:v>
      </x:c>
      <x:c r="H27" s="28" t="str">
        <x:v>Какие карты считаются находящимися в «Строю»?</x:v>
      </x:c>
      <x:c r="I27" s="28" t="str">
        <x:v>Ваши карты с особенностью «Строй», стоящие рядом по горизонтали или вертикали, но не по диагонали. Если строй разрывается, соответствующие бонусы теряются.</x:v>
      </x:c>
      <x:c r="J27" s="28" t="str">
        <x:v>Соседство без диагонали; обе/все карты имеют «Строй»; при разрыве бонус исчезает.</x:v>
      </x:c>
      <x:c r="K27" s="28" t="str"/>
      <x:c r="L27" s="28" t="str">
        <x:v>answerable</x:v>
      </x:c>
      <x:c r="M27" s="28" t="str">
        <x:v>mechanic_query</x:v>
      </x:c>
      <x:c r="N27" s="28" t="str">
        <x:v>glossary</x:v>
      </x:c>
      <x:c r="O27" s="28" t="str">
        <x:v>SRC-002</x:v>
      </x:c>
      <x:c r="P27" s="28" t="str">
        <x:v>Да</x:v>
      </x:c>
      <x:c r="Q27" s="28" t="str">
        <x:v>Нет</x:v>
      </x:c>
      <x:c r="R27" s="28" t="str"/>
      <x:c r="S27" s="28" t="str"/>
      <x:c r="T27" s="28" t="str">
        <x:v>NOT_RUN</x:v>
      </x:c>
      <x:c r="U27" s="28" t="str"/>
      <x:c r="V27" s="28" t="str"/>
      <x:c r="W27" s="28" t="str"/>
      <x:c r="X27" s="28" t="str"/>
      <x:c r="Y27" s="28"/>
    </x:row>
    <x:row r="28">
      <x:c r="A28" s="28" t="str">
        <x:v>MEC-012</x:v>
      </x:c>
      <x:c r="B28" s="28" t="str">
        <x:v>1.0</x:v>
      </x:c>
      <x:c r="C28" s="28" t="str">
        <x:v>gold_seed</x:v>
      </x:c>
      <x:c r="D28" s="28" t="str">
        <x:v>Mechanics_Glossary</x:v>
      </x:c>
      <x:c r="E28" s="28" t="str">
        <x:v>Uniqueness</x:v>
      </x:c>
      <x:c r="F28" s="28" t="str">
        <x:v>hard</x:v>
      </x:c>
      <x:c r="G28" s="28" t="str">
        <x:v>P1</x:v>
      </x:c>
      <x:c r="H28" s="28" t="str">
        <x:v>Что означает уникальность карты?</x:v>
      </x:c>
      <x:c r="I28" s="28" t="str">
        <x:v>Уникальность обозначается короной. Нельзя взять в отряд или поместить на кладбище карту с таким названием, если карта с тем же названием в конфликтующей уникальной ситуации уже есть в вашем отряде или на кладбище; при появлении нескольких уникальных одноимённых карт применяются правила глоссария.</x:v>
      </x:c>
      <x:c r="J28" s="28" t="str">
        <x:v>Уникальность обозначается короной; ограничивает одновременное наличие одноимённых карт в отряде/на кладбище.</x:v>
      </x:c>
      <x:c r="K28" s="28" t="str"/>
      <x:c r="L28" s="28" t="str">
        <x:v>answerable</x:v>
      </x:c>
      <x:c r="M28" s="28" t="str">
        <x:v>mechanic_query</x:v>
      </x:c>
      <x:c r="N28" s="28" t="str">
        <x:v>glossary</x:v>
      </x:c>
      <x:c r="O28" s="28" t="str">
        <x:v>SRC-002</x:v>
      </x:c>
      <x:c r="P28" s="28" t="str">
        <x:v>Да</x:v>
      </x:c>
      <x:c r="Q28" s="28" t="str">
        <x:v>Нет</x:v>
      </x:c>
      <x:c r="R28" s="28" t="str"/>
      <x:c r="S28" s="28" t="str">
        <x:v>Ожидается корректное краткое объяснение без необходимости воспроизводить весь подпункт глоссария.</x:v>
      </x:c>
      <x:c r="T28" s="28" t="str">
        <x:v>NOT_RUN</x:v>
      </x:c>
      <x:c r="U28" s="28" t="str"/>
      <x:c r="V28" s="28" t="str"/>
      <x:c r="W28" s="28" t="str"/>
      <x:c r="X28" s="28" t="str"/>
      <x:c r="Y28" s="28"/>
    </x:row>
    <x:row r="29">
      <x:c r="A29" s="28" t="str">
        <x:v>CAR-001</x:v>
      </x:c>
      <x:c r="B29" s="28" t="str">
        <x:v>1.0</x:v>
      </x:c>
      <x:c r="C29" s="28" t="str">
        <x:v>gold_seed</x:v>
      </x:c>
      <x:c r="D29" s="28" t="str">
        <x:v>Cards_Facts</x:v>
      </x:c>
      <x:c r="E29" s="28" t="str">
        <x:v>Дхайа</x:v>
      </x:c>
      <x:c r="F29" s="28" t="str">
        <x:v>easy</x:v>
      </x:c>
      <x:c r="G29" s="28" t="str">
        <x:v>P1</x:v>
      </x:c>
      <x:c r="H29" s="28" t="str">
        <x:v>Из какого выпуска Дхайа, какой она стихии, сколько стоит и сколько у неё здоровья?</x:v>
      </x:c>
      <x:c r="I29" s="28" t="str">
        <x:v>Дхайа — из выпуска «Нашествие тьмы», стихия Горы; стоит 5 золотых кристаллов и имеет 8 здоровья.</x:v>
      </x:c>
      <x:c r="J29" s="28" t="str">
        <x:v>Выпуск: Нашествие тьмы; стихия: Горы; стоимость: 5 золота; здоровье: 8.</x:v>
      </x:c>
      <x:c r="K29" s="28" t="str"/>
      <x:c r="L29" s="28" t="str">
        <x:v>answerable</x:v>
      </x:c>
      <x:c r="M29" s="28" t="str">
        <x:v>card_lookup</x:v>
      </x:c>
      <x:c r="N29" s="28" t="str">
        <x:v>card_db</x:v>
      </x:c>
      <x:c r="O29" s="28" t="str">
        <x:v>CARD-001</x:v>
      </x:c>
      <x:c r="P29" s="28" t="str">
        <x:v>Да</x:v>
      </x:c>
      <x:c r="Q29" s="28" t="str">
        <x:v>Нет</x:v>
      </x:c>
      <x:c r="R29" s="28" t="str"/>
      <x:c r="S29" s="28" t="str"/>
      <x:c r="T29" s="28" t="str">
        <x:v>NOT_RUN</x:v>
      </x:c>
      <x:c r="U29" s="28" t="str"/>
      <x:c r="V29" s="28" t="str"/>
      <x:c r="W29" s="28" t="str"/>
      <x:c r="X29" s="28" t="str"/>
      <x:c r="Y29" s="28"/>
    </x:row>
    <x:row r="30">
      <x:c r="A30" s="28" t="str">
        <x:v>CAR-002</x:v>
      </x:c>
      <x:c r="B30" s="28" t="str">
        <x:v>1.0</x:v>
      </x:c>
      <x:c r="C30" s="28" t="str">
        <x:v>gold_seed</x:v>
      </x:c>
      <x:c r="D30" s="28" t="str">
        <x:v>Cards_Facts</x:v>
      </x:c>
      <x:c r="E30" s="28" t="str">
        <x:v>Лёгкая кавалерия</x:v>
      </x:c>
      <x:c r="F30" s="28" t="str">
        <x:v>easy</x:v>
      </x:c>
      <x:c r="G30" s="28" t="str">
        <x:v>P1</x:v>
      </x:c>
      <x:c r="H30" s="28" t="str">
        <x:v>Какие базовые характеристики у «Лёгкой кавалерии»?</x:v>
      </x:c>
      <x:c r="I30" s="28" t="str">
        <x:v>Это частая карта выпуска «Призрачный легион», стихия Степи, стоимость 6 серебра, здоровье 11, 2 единицы движения, простой удар 2–3–3.</x:v>
      </x:c>
      <x:c r="J30" s="28" t="str">
        <x:v>Призрачный легион; Степи; 6 серебра; 11 здоровья; движение 2; удар 2-3-3.</x:v>
      </x:c>
      <x:c r="K30" s="28" t="str"/>
      <x:c r="L30" s="28" t="str">
        <x:v>answerable</x:v>
      </x:c>
      <x:c r="M30" s="28" t="str">
        <x:v>card_lookup</x:v>
      </x:c>
      <x:c r="N30" s="28" t="str">
        <x:v>card_db</x:v>
      </x:c>
      <x:c r="O30" s="28" t="str">
        <x:v>CARD-002</x:v>
      </x:c>
      <x:c r="P30" s="28" t="str">
        <x:v>Да</x:v>
      </x:c>
      <x:c r="Q30" s="28" t="str">
        <x:v>Нет</x:v>
      </x:c>
      <x:c r="R30" s="28" t="str"/>
      <x:c r="S30" s="28" t="str"/>
      <x:c r="T30" s="28" t="str">
        <x:v>NOT_RUN</x:v>
      </x:c>
      <x:c r="U30" s="28" t="str"/>
      <x:c r="V30" s="28" t="str"/>
      <x:c r="W30" s="28" t="str"/>
      <x:c r="X30" s="28" t="str"/>
      <x:c r="Y30" s="28"/>
    </x:row>
    <x:row r="31">
      <x:c r="A31" s="28" t="str">
        <x:v>CAR-003</x:v>
      </x:c>
      <x:c r="B31" s="28" t="str">
        <x:v>1.0</x:v>
      </x:c>
      <x:c r="C31" s="28" t="str">
        <x:v>gold_seed</x:v>
      </x:c>
      <x:c r="D31" s="28" t="str">
        <x:v>Cards_Facts</x:v>
      </x:c>
      <x:c r="E31" s="28" t="str">
        <x:v>Древний огр</x:v>
      </x:c>
      <x:c r="F31" s="28" t="str">
        <x:v>medium</x:v>
      </x:c>
      <x:c r="G31" s="28" t="str">
        <x:v>P1</x:v>
      </x:c>
      <x:c r="H31" s="28" t="str">
        <x:v>Какими защитными и восстановительными особенностями обладает «Древний огр»?</x:v>
      </x:c>
      <x:c r="I31" s="28" t="str">
        <x:v>У него есть защита от отравлений, Регенерация 1, −1 от выстрелов и метаний; при ударе по нему он получает защиту от ударов до конца хода.</x:v>
      </x:c>
      <x:c r="J31" s="28" t="str">
        <x:v>Защита от отравлений; Регенерация 1; −1 от выстрелов/метаний; при ударе получает защиту от ударов до конца хода.</x:v>
      </x:c>
      <x:c r="K31" s="28" t="str"/>
      <x:c r="L31" s="28" t="str">
        <x:v>answerable</x:v>
      </x:c>
      <x:c r="M31" s="28" t="str">
        <x:v>card_lookup</x:v>
      </x:c>
      <x:c r="N31" s="28" t="str">
        <x:v>card_db</x:v>
      </x:c>
      <x:c r="O31" s="28" t="str">
        <x:v>CARD-003</x:v>
      </x:c>
      <x:c r="P31" s="28" t="str">
        <x:v>Да</x:v>
      </x:c>
      <x:c r="Q31" s="28" t="str">
        <x:v>Нет</x:v>
      </x:c>
      <x:c r="R31" s="28" t="str"/>
      <x:c r="S31" s="28" t="str"/>
      <x:c r="T31" s="28" t="str">
        <x:v>NOT_RUN</x:v>
      </x:c>
      <x:c r="U31" s="28" t="str"/>
      <x:c r="V31" s="28" t="str"/>
      <x:c r="W31" s="28" t="str"/>
      <x:c r="X31" s="28" t="str"/>
      <x:c r="Y31" s="28"/>
    </x:row>
    <x:row r="32">
      <x:c r="A32" s="28" t="str">
        <x:v>CAR-004</x:v>
      </x:c>
      <x:c r="B32" s="28" t="str">
        <x:v>1.0</x:v>
      </x:c>
      <x:c r="C32" s="28" t="str">
        <x:v>gold_seed</x:v>
      </x:c>
      <x:c r="D32" s="28" t="str">
        <x:v>Cards_Facts</x:v>
      </x:c>
      <x:c r="E32" s="28" t="str">
        <x:v>Викарий</x:v>
      </x:c>
      <x:c r="F32" s="28" t="str">
        <x:v>medium</x:v>
      </x:c>
      <x:c r="G32" s="28" t="str">
        <x:v>P1</x:v>
      </x:c>
      <x:c r="H32" s="28" t="str">
        <x:v>Что делает «Викарий» при своём разряде, если в отряде есть ангел или демон?</x:v>
      </x:c>
      <x:c r="I32" s="28" t="str">
        <x:v>При разряде, если в вашем отряде есть ангел, существо получает благословление; если есть демон — существо получает проклятие.</x:v>
      </x:c>
      <x:c r="J32" s="28" t="str">
        <x:v>Ангел -&gt; благословление; демон -&gt; проклятие; триггер — разряд Викария.</x:v>
      </x:c>
      <x:c r="K32" s="28" t="str"/>
      <x:c r="L32" s="28" t="str">
        <x:v>answerable</x:v>
      </x:c>
      <x:c r="M32" s="28" t="str">
        <x:v>card_lookup</x:v>
      </x:c>
      <x:c r="N32" s="28" t="str">
        <x:v>card_db</x:v>
      </x:c>
      <x:c r="O32" s="28" t="str">
        <x:v>CARD-004</x:v>
      </x:c>
      <x:c r="P32" s="28" t="str">
        <x:v>Да</x:v>
      </x:c>
      <x:c r="Q32" s="28" t="str">
        <x:v>Нет</x:v>
      </x:c>
      <x:c r="R32" s="28" t="str"/>
      <x:c r="S32" s="28" t="str"/>
      <x:c r="T32" s="28" t="str">
        <x:v>NOT_RUN</x:v>
      </x:c>
      <x:c r="U32" s="28" t="str"/>
      <x:c r="V32" s="28" t="str"/>
      <x:c r="W32" s="28" t="str"/>
      <x:c r="X32" s="28" t="str"/>
      <x:c r="Y32" s="28"/>
    </x:row>
    <x:row r="33">
      <x:c r="A33" s="28" t="str">
        <x:v>CAR-005</x:v>
      </x:c>
      <x:c r="B33" s="28" t="str">
        <x:v>1.0</x:v>
      </x:c>
      <x:c r="C33" s="28" t="str">
        <x:v>gold_seed</x:v>
      </x:c>
      <x:c r="D33" s="28" t="str">
        <x:v>Cards_Facts</x:v>
      </x:c>
      <x:c r="E33" s="28" t="str">
        <x:v>Жрец штормов</x:v>
      </x:c>
      <x:c r="F33" s="28" t="str">
        <x:v>medium</x:v>
      </x:c>
      <x:c r="G33" s="28" t="str">
        <x:v>P1</x:v>
      </x:c>
      <x:c r="H33" s="28" t="str">
        <x:v>Когда срабатывает способность «Жреца штормов» на дополнительный разряд?</x:v>
      </x:c>
      <x:c r="I33" s="28" t="str">
        <x:v>Когда ваша карта единовременно теряет 2 или более фишки, Жрец штормов делает разряд на 1; это может сработать до 2 раз за ход.</x:v>
      </x:c>
      <x:c r="J33" s="28" t="str">
        <x:v>Потеря вашей картой 2+ фишек одновременно; разряд на 1; максимум 2 раза за ход.</x:v>
      </x:c>
      <x:c r="K33" s="28" t="str"/>
      <x:c r="L33" s="28" t="str">
        <x:v>answerable</x:v>
      </x:c>
      <x:c r="M33" s="28" t="str">
        <x:v>card_lookup</x:v>
      </x:c>
      <x:c r="N33" s="28" t="str">
        <x:v>card_db</x:v>
      </x:c>
      <x:c r="O33" s="28" t="str">
        <x:v>CARD-005</x:v>
      </x:c>
      <x:c r="P33" s="28" t="str">
        <x:v>Да</x:v>
      </x:c>
      <x:c r="Q33" s="28" t="str">
        <x:v>Нет</x:v>
      </x:c>
      <x:c r="R33" s="28" t="str"/>
      <x:c r="S33" s="28" t="str"/>
      <x:c r="T33" s="28" t="str">
        <x:v>NOT_RUN</x:v>
      </x:c>
      <x:c r="U33" s="28" t="str"/>
      <x:c r="V33" s="28" t="str"/>
      <x:c r="W33" s="28" t="str"/>
      <x:c r="X33" s="28" t="str"/>
      <x:c r="Y33" s="28"/>
    </x:row>
    <x:row r="34">
      <x:c r="A34" s="28" t="str">
        <x:v>CAR-006</x:v>
      </x:c>
      <x:c r="B34" s="28" t="str">
        <x:v>1.0</x:v>
      </x:c>
      <x:c r="C34" s="28" t="str">
        <x:v>gold_seed</x:v>
      </x:c>
      <x:c r="D34" s="28" t="str">
        <x:v>Cards_Facts</x:v>
      </x:c>
      <x:c r="E34" s="28" t="str">
        <x:v>Землекоп</x:v>
      </x:c>
      <x:c r="F34" s="28" t="str">
        <x:v>medium</x:v>
      </x:c>
      <x:c r="G34" s="28" t="str">
        <x:v>P1</x:v>
      </x:c>
      <x:c r="H34" s="28" t="str">
        <x:v>Как работает «выкопать ров» у Землекопа?</x:v>
      </x:c>
      <x:c r="I34" s="28" t="str">
        <x:v>Выбранная свободная соседняя клетка получает маркер «ров». Когда существо перемещается на эту клетку, оно получает 4 раны, после чего ров исчезает.</x:v>
      </x:c>
      <x:c r="J34" s="28" t="str">
        <x:v>Только свободная соседняя клетка; маркер «ров»; при перемещении на клетку — 4 раны и исчезновение маркера.</x:v>
      </x:c>
      <x:c r="K34" s="28" t="str"/>
      <x:c r="L34" s="28" t="str">
        <x:v>answerable</x:v>
      </x:c>
      <x:c r="M34" s="28" t="str">
        <x:v>card_lookup</x:v>
      </x:c>
      <x:c r="N34" s="28" t="str">
        <x:v>card_db</x:v>
      </x:c>
      <x:c r="O34" s="28" t="str">
        <x:v>CARD-006</x:v>
      </x:c>
      <x:c r="P34" s="28" t="str">
        <x:v>Да</x:v>
      </x:c>
      <x:c r="Q34" s="28" t="str">
        <x:v>Нет</x:v>
      </x:c>
      <x:c r="R34" s="28" t="str"/>
      <x:c r="S34" s="28" t="str"/>
      <x:c r="T34" s="28" t="str">
        <x:v>NOT_RUN</x:v>
      </x:c>
      <x:c r="U34" s="28" t="str"/>
      <x:c r="V34" s="28" t="str"/>
      <x:c r="W34" s="28" t="str"/>
      <x:c r="X34" s="28" t="str"/>
      <x:c r="Y34" s="28"/>
    </x:row>
    <x:row r="35">
      <x:c r="A35" s="28" t="str">
        <x:v>CAR-007</x:v>
      </x:c>
      <x:c r="B35" s="28" t="str">
        <x:v>1.0</x:v>
      </x:c>
      <x:c r="C35" s="28" t="str">
        <x:v>gold_seed</x:v>
      </x:c>
      <x:c r="D35" s="28" t="str">
        <x:v>Cards_Facts</x:v>
      </x:c>
      <x:c r="E35" s="28" t="str">
        <x:v>Древляна</x:v>
      </x:c>
      <x:c r="F35" s="28" t="str">
        <x:v>hard</x:v>
      </x:c>
      <x:c r="G35" s="28" t="str">
        <x:v>P1</x:v>
      </x:c>
      <x:c r="H35" s="28" t="str">
        <x:v>При каком событии «Древляна» может вызвать компаньона?</x:v>
      </x:c>
      <x:c r="I35" s="28" t="str">
        <x:v>Когда ваше существо получает раны от атаки карты противника в его ход, Древляна может вызвать компаньона на атакованное существо, если компаньона с таким названием нет в вашем отряде; 1 раз за ход.</x:v>
      </x:c>
      <x:c r="J35" s="28" t="str">
        <x:v>Раны от атаки карты противника в его ход; вызов компаньона на атакованное существо; проверка имени в отряде; 1 раз за ход.</x:v>
      </x:c>
      <x:c r="K35" s="28" t="str"/>
      <x:c r="L35" s="28" t="str">
        <x:v>answerable</x:v>
      </x:c>
      <x:c r="M35" s="28" t="str">
        <x:v>card_lookup</x:v>
      </x:c>
      <x:c r="N35" s="28" t="str">
        <x:v>card_db</x:v>
      </x:c>
      <x:c r="O35" s="28" t="str">
        <x:v>CARD-007</x:v>
      </x:c>
      <x:c r="P35" s="28" t="str">
        <x:v>Да</x:v>
      </x:c>
      <x:c r="Q35" s="28" t="str">
        <x:v>Нет</x:v>
      </x:c>
      <x:c r="R35" s="28" t="str"/>
      <x:c r="S35" s="28" t="str"/>
      <x:c r="T35" s="28" t="str">
        <x:v>NOT_RUN</x:v>
      </x:c>
      <x:c r="U35" s="28" t="str"/>
      <x:c r="V35" s="28" t="str"/>
      <x:c r="W35" s="28" t="str"/>
      <x:c r="X35" s="28" t="str"/>
      <x:c r="Y35" s="28"/>
    </x:row>
    <x:row r="36">
      <x:c r="A36" s="28" t="str">
        <x:v>CAR-008</x:v>
      </x:c>
      <x:c r="B36" s="28" t="str">
        <x:v>1.0</x:v>
      </x:c>
      <x:c r="C36" s="28" t="str">
        <x:v>gold_seed</x:v>
      </x:c>
      <x:c r="D36" s="28" t="str">
        <x:v>Cards_Facts</x:v>
      </x:c>
      <x:c r="E36" s="28" t="str">
        <x:v>Азенаэль</x:v>
      </x:c>
      <x:c r="F36" s="28" t="str">
        <x:v>hard</x:v>
      </x:c>
      <x:c r="G36" s="28" t="str">
        <x:v>P1</x:v>
      </x:c>
      <x:c r="H36" s="28" t="str">
        <x:v>В чём суть способности «самопожертвование» у Азенаэля?</x:v>
      </x:c>
      <x:c r="I36" s="28" t="str">
        <x:v>При гибели вашего нетёмного существа стоимостью 5 или меньше Азенаэль может раниться на X и возродить это существо на его месте с X текущими жизнями; способность используется 1 раз за бой.</x:v>
      </x:c>
      <x:c r="J36" s="28" t="str">
        <x:v>Триггер: гибель своего нетёмного существа стоимостью ≤5; Азенаэль ранится на X; возрождение с X текущими жизнями; 1 раз за бой.</x:v>
      </x:c>
      <x:c r="K36" s="28" t="str"/>
      <x:c r="L36" s="28" t="str">
        <x:v>answerable</x:v>
      </x:c>
      <x:c r="M36" s="28" t="str">
        <x:v>card_lookup</x:v>
      </x:c>
      <x:c r="N36" s="28" t="str">
        <x:v>card_db</x:v>
      </x:c>
      <x:c r="O36" s="28" t="str">
        <x:v>CARD-008</x:v>
      </x:c>
      <x:c r="P36" s="28" t="str">
        <x:v>Да</x:v>
      </x:c>
      <x:c r="Q36" s="28" t="str">
        <x:v>Нет</x:v>
      </x:c>
      <x:c r="R36" s="28" t="str"/>
      <x:c r="S36" s="28" t="str"/>
      <x:c r="T36" s="28" t="str">
        <x:v>NOT_RUN</x:v>
      </x:c>
      <x:c r="U36" s="28" t="str"/>
      <x:c r="V36" s="28" t="str"/>
      <x:c r="W36" s="28" t="str"/>
      <x:c r="X36" s="28" t="str"/>
      <x:c r="Y36" s="28"/>
    </x:row>
    <x:row r="37">
      <x:c r="A37" s="28" t="str">
        <x:v>FAQ-001</x:v>
      </x:c>
      <x:c r="B37" s="28" t="str">
        <x:v>1.0</x:v>
      </x:c>
      <x:c r="C37" s="28" t="str">
        <x:v>gold_seed</x:v>
      </x:c>
      <x:c r="D37" s="28" t="str">
        <x:v>Card_FAQ_Interactions</x:v>
      </x:c>
      <x:c r="E37" s="28" t="str">
        <x:v>Дхайа</x:v>
      </x:c>
      <x:c r="F37" s="28" t="str">
        <x:v>hard</x:v>
      </x:c>
      <x:c r="G37" s="28" t="str">
        <x:v>P1</x:v>
      </x:c>
      <x:c r="H37" s="28" t="str">
        <x:v>Может ли Дхайа сделать первый разряд по существу, второй по соседнему существу, а третий снова по первой цели?</x:v>
      </x:c>
      <x:c r="I37" s="28" t="str">
        <x:v>Да, вернуться к первой цели можно. Но второй и третий разряды должны быть по существам; только первый разряд может быть заявлен по карте вообще.</x:v>
      </x:c>
      <x:c r="J37" s="28" t="str">
        <x:v>Возврат к первой цели разрешён; последующие разряды — только по существам.</x:v>
      </x:c>
      <x:c r="K37" s="28" t="str"/>
      <x:c r="L37" s="28" t="str">
        <x:v>answerable</x:v>
      </x:c>
      <x:c r="M37" s="28" t="str">
        <x:v>card_interaction</x:v>
      </x:c>
      <x:c r="N37" s="28" t="str">
        <x:v>card_faq</x:v>
      </x:c>
      <x:c r="O37" s="28" t="str">
        <x:v>CARD-001</x:v>
      </x:c>
      <x:c r="P37" s="28" t="str">
        <x:v>Да</x:v>
      </x:c>
      <x:c r="Q37" s="28" t="str">
        <x:v>Нет</x:v>
      </x:c>
      <x:c r="R37" s="28" t="str"/>
      <x:c r="S37" s="28" t="str"/>
      <x:c r="T37" s="28" t="str">
        <x:v>NOT_RUN</x:v>
      </x:c>
      <x:c r="U37" s="28" t="str"/>
      <x:c r="V37" s="28" t="str"/>
      <x:c r="W37" s="28" t="str"/>
      <x:c r="X37" s="28" t="str"/>
      <x:c r="Y37" s="28"/>
    </x:row>
    <x:row r="38">
      <x:c r="A38" s="28" t="str">
        <x:v>FAQ-002</x:v>
      </x:c>
      <x:c r="B38" s="28" t="str">
        <x:v>1.0</x:v>
      </x:c>
      <x:c r="C38" s="28" t="str">
        <x:v>gold_seed</x:v>
      </x:c>
      <x:c r="D38" s="28" t="str">
        <x:v>Card_FAQ_Interactions</x:v>
      </x:c>
      <x:c r="E38" s="28" t="str">
        <x:v>Лёгкая кавалерия</x:v>
      </x:c>
      <x:c r="F38" s="28" t="str">
        <x:v>medium</x:v>
      </x:c>
      <x:c r="G38" s="28" t="str">
        <x:v>P1</x:v>
      </x:c>
      <x:c r="H38" s="28" t="str">
        <x:v>Получит ли «Лёгкая кавалерия» бонус «при движении», если её переместила другая карта?</x:v>
      </x:c>
      <x:c r="I38" s="28" t="str">
        <x:v>Нет. Перемещение другой картой не считается движением самой «Лёгкой кавалерии» для её способности.</x:v>
      </x:c>
      <x:c r="J38" s="28" t="str">
        <x:v>Ответ: нет; чужое перемещение ≠ движение самой карты.</x:v>
      </x:c>
      <x:c r="K38" s="28" t="str"/>
      <x:c r="L38" s="28" t="str">
        <x:v>answerable</x:v>
      </x:c>
      <x:c r="M38" s="28" t="str">
        <x:v>card_interaction</x:v>
      </x:c>
      <x:c r="N38" s="28" t="str">
        <x:v>card_faq</x:v>
      </x:c>
      <x:c r="O38" s="28" t="str">
        <x:v>CARD-002</x:v>
      </x:c>
      <x:c r="P38" s="28" t="str">
        <x:v>Да</x:v>
      </x:c>
      <x:c r="Q38" s="28" t="str">
        <x:v>Нет</x:v>
      </x:c>
      <x:c r="R38" s="28" t="str"/>
      <x:c r="S38" s="28" t="str"/>
      <x:c r="T38" s="28" t="str">
        <x:v>NOT_RUN</x:v>
      </x:c>
      <x:c r="U38" s="28" t="str"/>
      <x:c r="V38" s="28" t="str"/>
      <x:c r="W38" s="28" t="str"/>
      <x:c r="X38" s="28" t="str"/>
      <x:c r="Y38" s="28"/>
    </x:row>
    <x:row r="39">
      <x:c r="A39" s="28" t="str">
        <x:v>FAQ-003</x:v>
      </x:c>
      <x:c r="B39" s="28" t="str">
        <x:v>1.0</x:v>
      </x:c>
      <x:c r="C39" s="28" t="str">
        <x:v>gold_seed</x:v>
      </x:c>
      <x:c r="D39" s="28" t="str">
        <x:v>Card_FAQ_Interactions</x:v>
      </x:c>
      <x:c r="E39" s="28" t="str">
        <x:v>Древний огр</x:v>
      </x:c>
      <x:c r="F39" s="28" t="str">
        <x:v>hard</x:v>
      </x:c>
      <x:c r="G39" s="28" t="str">
        <x:v>P1</x:v>
      </x:c>
      <x:c r="H39" s="28" t="str">
        <x:v>Получит ли «Древний огр» защиту от ударов, если по нему ударил Ётун?</x:v>
      </x:c>
      <x:c r="I39" s="28" t="str">
        <x:v>Да. Срабатывающей особенности Огра не требуется выбирать Ётуна целью, поэтому защита от ударов будет получена.</x:v>
      </x:c>
      <x:c r="J39" s="28" t="str">
        <x:v>Ответ: да; причина — триггер Огра не требует выбирать атакующего целью.</x:v>
      </x:c>
      <x:c r="K39" s="28" t="str"/>
      <x:c r="L39" s="28" t="str">
        <x:v>answerable</x:v>
      </x:c>
      <x:c r="M39" s="28" t="str">
        <x:v>card_interaction</x:v>
      </x:c>
      <x:c r="N39" s="28" t="str">
        <x:v>card_faq</x:v>
      </x:c>
      <x:c r="O39" s="28" t="str">
        <x:v>CARD-003</x:v>
      </x:c>
      <x:c r="P39" s="28" t="str">
        <x:v>Да</x:v>
      </x:c>
      <x:c r="Q39" s="28" t="str">
        <x:v>Нет</x:v>
      </x:c>
      <x:c r="R39" s="28" t="str"/>
      <x:c r="S39" s="28" t="str"/>
      <x:c r="T39" s="28" t="str">
        <x:v>NOT_RUN</x:v>
      </x:c>
      <x:c r="U39" s="28" t="str"/>
      <x:c r="V39" s="28" t="str"/>
      <x:c r="W39" s="28" t="str"/>
      <x:c r="X39" s="28" t="str"/>
      <x:c r="Y39" s="28"/>
    </x:row>
    <x:row r="40">
      <x:c r="A40" s="28" t="str">
        <x:v>FAQ-004</x:v>
      </x:c>
      <x:c r="B40" s="28" t="str">
        <x:v>1.0</x:v>
      </x:c>
      <x:c r="C40" s="28" t="str">
        <x:v>gold_seed</x:v>
      </x:c>
      <x:c r="D40" s="28" t="str">
        <x:v>Card_FAQ_Interactions</x:v>
      </x:c>
      <x:c r="E40" s="28" t="str">
        <x:v>Викарий</x:v>
      </x:c>
      <x:c r="F40" s="28" t="str">
        <x:v>medium</x:v>
      </x:c>
      <x:c r="G40" s="28" t="str">
        <x:v>P1</x:v>
      </x:c>
      <x:c r="H40" s="28" t="str">
        <x:v>Что произойдёт при разряде Викария, если в отряде одновременно есть и ангел, и демон?</x:v>
      </x:c>
      <x:c r="I40" s="28" t="str">
        <x:v>Сработают оба условия: можно выдать и благословление, и проклятие; не обязательно одному и тому же существу.</x:v>
      </x:c>
      <x:c r="J40" s="28" t="str">
        <x:v>Оба эффекта применимы; цели могут различаться.</x:v>
      </x:c>
      <x:c r="K40" s="28" t="str"/>
      <x:c r="L40" s="28" t="str">
        <x:v>answerable</x:v>
      </x:c>
      <x:c r="M40" s="28" t="str">
        <x:v>card_interaction</x:v>
      </x:c>
      <x:c r="N40" s="28" t="str">
        <x:v>card_faq</x:v>
      </x:c>
      <x:c r="O40" s="28" t="str">
        <x:v>CARD-004</x:v>
      </x:c>
      <x:c r="P40" s="28" t="str">
        <x:v>Да</x:v>
      </x:c>
      <x:c r="Q40" s="28" t="str">
        <x:v>Нет</x:v>
      </x:c>
      <x:c r="R40" s="28" t="str"/>
      <x:c r="S40" s="28" t="str"/>
      <x:c r="T40" s="28" t="str">
        <x:v>NOT_RUN</x:v>
      </x:c>
      <x:c r="U40" s="28" t="str"/>
      <x:c r="V40" s="28" t="str"/>
      <x:c r="W40" s="28" t="str"/>
      <x:c r="X40" s="28" t="str"/>
      <x:c r="Y40" s="28"/>
    </x:row>
    <x:row r="41">
      <x:c r="A41" s="28" t="str">
        <x:v>FAQ-005</x:v>
      </x:c>
      <x:c r="B41" s="28" t="str">
        <x:v>1.0</x:v>
      </x:c>
      <x:c r="C41" s="28" t="str">
        <x:v>gold_seed</x:v>
      </x:c>
      <x:c r="D41" s="28" t="str">
        <x:v>Card_FAQ_Interactions</x:v>
      </x:c>
      <x:c r="E41" s="28" t="str">
        <x:v>Жрец штормов</x:v>
      </x:c>
      <x:c r="F41" s="28" t="str">
        <x:v>hard</x:v>
      </x:c>
      <x:c r="G41" s="28" t="str">
        <x:v>P1</x:v>
      </x:c>
      <x:c r="H41" s="28" t="str">
        <x:v>Срабатывает ли «Жрец штормов» только когда 2+ фишки тратятся как стоимость способности?</x:v>
      </x:c>
      <x:c r="I41" s="28" t="str">
        <x:v>Нет. Важен сам факт потери 2 или более фишек одновременно, не обязательно как оплата. Но гибель карты с фишками сама по себе не считается такой потерей для этого триггера.</x:v>
      </x:c>
      <x:c r="J41" s="28" t="str">
        <x:v>Триггер зависит от факта потери 2+ фишек; не обязательно оплата; гибель с фишками не запускает указанное срабатывание.</x:v>
      </x:c>
      <x:c r="K41" s="28" t="str"/>
      <x:c r="L41" s="28" t="str">
        <x:v>answerable</x:v>
      </x:c>
      <x:c r="M41" s="28" t="str">
        <x:v>card_interaction</x:v>
      </x:c>
      <x:c r="N41" s="28" t="str">
        <x:v>card_faq</x:v>
      </x:c>
      <x:c r="O41" s="28" t="str">
        <x:v>CARD-005</x:v>
      </x:c>
      <x:c r="P41" s="28" t="str">
        <x:v>Да</x:v>
      </x:c>
      <x:c r="Q41" s="28" t="str">
        <x:v>Нет</x:v>
      </x:c>
      <x:c r="R41" s="28" t="str"/>
      <x:c r="S41" s="28" t="str"/>
      <x:c r="T41" s="28" t="str">
        <x:v>NOT_RUN</x:v>
      </x:c>
      <x:c r="U41" s="28" t="str"/>
      <x:c r="V41" s="28" t="str"/>
      <x:c r="W41" s="28" t="str"/>
      <x:c r="X41" s="28" t="str"/>
      <x:c r="Y41" s="28"/>
    </x:row>
    <x:row r="42">
      <x:c r="A42" s="28" t="str">
        <x:v>FAQ-006</x:v>
      </x:c>
      <x:c r="B42" s="28" t="str">
        <x:v>1.0</x:v>
      </x:c>
      <x:c r="C42" s="28" t="str">
        <x:v>gold_seed</x:v>
      </x:c>
      <x:c r="D42" s="28" t="str">
        <x:v>Card_FAQ_Interactions</x:v>
      </x:c>
      <x:c r="E42" s="28" t="str">
        <x:v>Землекоп</x:v>
      </x:c>
      <x:c r="F42" s="28" t="str">
        <x:v>hard</x:v>
      </x:c>
      <x:c r="G42" s="28" t="str">
        <x:v>P1</x:v>
      </x:c>
      <x:c r="H42" s="28" t="str">
        <x:v>Можно ли положить несколько маркеров «ров» Землекопа на одну клетку и что будет при входе существа?</x:v>
      </x:c>
      <x:c r="I42" s="28" t="str">
        <x:v>Да. Несколько рвов допустимы; при перемещении существа на клетку они поочерёдно наносят по 4 раны и каждый исчезает после срабатывания.</x:v>
      </x:c>
      <x:c r="J42" s="28" t="str">
        <x:v>Несколько рвов на клетке разрешены; каждый последовательно наносит 4 раны и исчезает.</x:v>
      </x:c>
      <x:c r="K42" s="28" t="str"/>
      <x:c r="L42" s="28" t="str">
        <x:v>answerable</x:v>
      </x:c>
      <x:c r="M42" s="28" t="str">
        <x:v>card_interaction</x:v>
      </x:c>
      <x:c r="N42" s="28" t="str">
        <x:v>card_faq</x:v>
      </x:c>
      <x:c r="O42" s="28" t="str">
        <x:v>CARD-006</x:v>
      </x:c>
      <x:c r="P42" s="28" t="str">
        <x:v>Да</x:v>
      </x:c>
      <x:c r="Q42" s="28" t="str">
        <x:v>Нет</x:v>
      </x:c>
      <x:c r="R42" s="28" t="str"/>
      <x:c r="S42" s="28" t="str"/>
      <x:c r="T42" s="28" t="str">
        <x:v>NOT_RUN</x:v>
      </x:c>
      <x:c r="U42" s="28" t="str"/>
      <x:c r="V42" s="28" t="str"/>
      <x:c r="W42" s="28" t="str"/>
      <x:c r="X42" s="28" t="str"/>
      <x:c r="Y42" s="28"/>
    </x:row>
    <x:row r="43">
      <x:c r="A43" s="28" t="str">
        <x:v>FAQ-007</x:v>
      </x:c>
      <x:c r="B43" s="28" t="str">
        <x:v>1.0</x:v>
      </x:c>
      <x:c r="C43" s="28" t="str">
        <x:v>gold_seed</x:v>
      </x:c>
      <x:c r="D43" s="28" t="str">
        <x:v>Card_FAQ_Interactions</x:v>
      </x:c>
      <x:c r="E43" s="28" t="str">
        <x:v>Древляна</x:v>
      </x:c>
      <x:c r="F43" s="28" t="str">
        <x:v>medium</x:v>
      </x:c>
      <x:c r="G43" s="28" t="str">
        <x:v>P1</x:v>
      </x:c>
      <x:c r="H43" s="28" t="str">
        <x:v>Учитывает ли Древляна компаньонов с таким же названием на кладбище, когда проверяет возможность вызова?</x:v>
      </x:c>
      <x:c r="I43" s="28" t="str">
        <x:v>Нет. FAQ карты уточняет, что компаньоны на кладбище при этой проверке не учитываются.</x:v>
      </x:c>
      <x:c r="J43" s="28" t="str">
        <x:v>Ответ: нет; проверяется наличие в отряде, а не на кладбище.</x:v>
      </x:c>
      <x:c r="K43" s="28" t="str"/>
      <x:c r="L43" s="28" t="str">
        <x:v>answerable</x:v>
      </x:c>
      <x:c r="M43" s="28" t="str">
        <x:v>card_interaction</x:v>
      </x:c>
      <x:c r="N43" s="28" t="str">
        <x:v>card_faq</x:v>
      </x:c>
      <x:c r="O43" s="28" t="str">
        <x:v>CARD-007</x:v>
      </x:c>
      <x:c r="P43" s="28" t="str">
        <x:v>Да</x:v>
      </x:c>
      <x:c r="Q43" s="28" t="str">
        <x:v>Нет</x:v>
      </x:c>
      <x:c r="R43" s="28" t="str"/>
      <x:c r="S43" s="28" t="str"/>
      <x:c r="T43" s="28" t="str">
        <x:v>NOT_RUN</x:v>
      </x:c>
      <x:c r="U43" s="28" t="str"/>
      <x:c r="V43" s="28" t="str"/>
      <x:c r="W43" s="28" t="str"/>
      <x:c r="X43" s="28" t="str"/>
      <x:c r="Y43" s="28"/>
    </x:row>
    <x:row r="44">
      <x:c r="A44" s="28" t="str">
        <x:v>FAQ-008</x:v>
      </x:c>
      <x:c r="B44" s="28" t="str">
        <x:v>1.0</x:v>
      </x:c>
      <x:c r="C44" s="28" t="str">
        <x:v>gold_seed</x:v>
      </x:c>
      <x:c r="D44" s="28" t="str">
        <x:v>Card_FAQ_Interactions</x:v>
      </x:c>
      <x:c r="E44" s="28" t="str">
        <x:v>Мастер разума</x:v>
      </x:c>
      <x:c r="F44" s="28" t="str">
        <x:v>hard</x:v>
      </x:c>
      <x:c r="G44" s="28" t="str">
        <x:v>P1</x:v>
      </x:c>
      <x:c r="H44" s="28" t="str">
        <x:v>Можно ли назначить защитника от внезапной особенности «Мастера разума» или перенаправить её простой удар?</x:v>
      </x:c>
      <x:c r="I44" s="28" t="str">
        <x:v>Нет в обоих случаях.</x:v>
      </x:c>
      <x:c r="J44" s="28" t="str">
        <x:v>Защитник: нельзя; перенаправление: нельзя.</x:v>
      </x:c>
      <x:c r="K44" s="28" t="str"/>
      <x:c r="L44" s="28" t="str">
        <x:v>answerable</x:v>
      </x:c>
      <x:c r="M44" s="28" t="str">
        <x:v>card_interaction</x:v>
      </x:c>
      <x:c r="N44" s="28" t="str">
        <x:v>card_faq</x:v>
      </x:c>
      <x:c r="O44" s="28" t="str">
        <x:v>CARD-009</x:v>
      </x:c>
      <x:c r="P44" s="28" t="str">
        <x:v>Да</x:v>
      </x:c>
      <x:c r="Q44" s="28" t="str">
        <x:v>Нет</x:v>
      </x:c>
      <x:c r="R44" s="28" t="str"/>
      <x:c r="S44" s="28" t="str"/>
      <x:c r="T44" s="28" t="str">
        <x:v>NOT_RUN</x:v>
      </x:c>
      <x:c r="U44" s="28" t="str"/>
      <x:c r="V44" s="28" t="str"/>
      <x:c r="W44" s="28" t="str"/>
      <x:c r="X44" s="28" t="str"/>
      <x:c r="Y44" s="28"/>
    </x:row>
    <x:row r="45">
      <x:c r="A45" s="28" t="str">
        <x:v>TRN-001</x:v>
      </x:c>
      <x:c r="B45" s="28" t="str">
        <x:v>1.0</x:v>
      </x:c>
      <x:c r="C45" s="28" t="str">
        <x:v>gold_seed</x:v>
      </x:c>
      <x:c r="D45" s="28" t="str">
        <x:v>Tournament_Formats</x:v>
      </x:c>
      <x:c r="E45" s="28" t="str">
        <x:v>Constructed basics</x:v>
      </x:c>
      <x:c r="F45" s="28" t="str">
        <x:v>easy</x:v>
      </x:c>
      <x:c r="G45" s="28" t="str">
        <x:v>P1</x:v>
      </x:c>
      <x:c r="H45" s="28" t="str">
        <x:v>Какие базовые ограничения на колоду действуют для констрактед-турниров классического «Берсерка»?</x:v>
      </x:c>
      <x:c r="I45" s="28" t="str">
        <x:v>Колода содержит от 30 до 50 карт, не более трёх одинаковых карт и не должна содержать запрещённые карты.</x:v>
      </x:c>
      <x:c r="J45" s="28" t="str">
        <x:v>30–50 карт; максимум 3 одинаковые; запрещённые карты исключены.</x:v>
      </x:c>
      <x:c r="K45" s="28" t="str"/>
      <x:c r="L45" s="28" t="str">
        <x:v>answerable</x:v>
      </x:c>
      <x:c r="M45" s="28" t="str">
        <x:v>tournament_query</x:v>
      </x:c>
      <x:c r="N45" s="28" t="str">
        <x:v>tournament_rules</x:v>
      </x:c>
      <x:c r="O45" s="28" t="str">
        <x:v>SRC-003</x:v>
      </x:c>
      <x:c r="P45" s="28" t="str">
        <x:v>Да</x:v>
      </x:c>
      <x:c r="Q45" s="28" t="str">
        <x:v>Нет</x:v>
      </x:c>
      <x:c r="R45" s="28" t="str"/>
      <x:c r="S45" s="28" t="str"/>
      <x:c r="T45" s="28" t="str">
        <x:v>NOT_RUN</x:v>
      </x:c>
      <x:c r="U45" s="28" t="str"/>
      <x:c r="V45" s="28" t="str"/>
      <x:c r="W45" s="28" t="str"/>
      <x:c r="X45" s="28" t="str"/>
      <x:c r="Y45" s="28"/>
    </x:row>
    <x:row r="46">
      <x:c r="A46" s="28" t="str">
        <x:v>TRN-002</x:v>
      </x:c>
      <x:c r="B46" s="28" t="str">
        <x:v>1.0</x:v>
      </x:c>
      <x:c r="C46" s="28" t="str">
        <x:v>gold_seed</x:v>
      </x:c>
      <x:c r="D46" s="28" t="str">
        <x:v>Tournament_Formats</x:v>
      </x:c>
      <x:c r="E46" s="28" t="str">
        <x:v>Standard legality</x:v>
      </x:c>
      <x:c r="F46" s="28" t="str">
        <x:v>medium</x:v>
      </x:c>
      <x:c r="G46" s="28" t="str">
        <x:v>P1</x:v>
      </x:c>
      <x:c r="H46" s="28" t="str">
        <x:v>Какие выпуски легальны в формате Стандарт на текущей официальной турнирной странице?</x:v>
      </x:c>
      <x:c r="I46" s="28" t="str">
        <x:v>На снимке от 03.10.2026 указаны «Путь хранителей», «Призрачный легион», «Гибель богов», «Сердце роя» и набор «Легенды Лаара».</x:v>
      </x:c>
      <x:c r="J46" s="28" t="str">
        <x:v>Путь хранителей; Призрачный легион; Гибель богов; Сердце роя; Легенды Лаара.</x:v>
      </x:c>
      <x:c r="K46" s="28" t="str"/>
      <x:c r="L46" s="28" t="str">
        <x:v>answerable</x:v>
      </x:c>
      <x:c r="M46" s="28" t="str">
        <x:v>tournament_query</x:v>
      </x:c>
      <x:c r="N46" s="28" t="str">
        <x:v>tournament_rules</x:v>
      </x:c>
      <x:c r="O46" s="28" t="str">
        <x:v>SRC-003</x:v>
      </x:c>
      <x:c r="P46" s="28" t="str">
        <x:v>Да</x:v>
      </x:c>
      <x:c r="Q46" s="28" t="str">
        <x:v>Да</x:v>
      </x:c>
      <x:c r="R46" s="28" t="str">
        <x:v>2026-10-03</x:v>
      </x:c>
      <x:c r="S46" s="28" t="str">
        <x:v>Динамический тест: при обновлении источника gold-ответ нужно пересмотреть.</x:v>
      </x:c>
      <x:c r="T46" s="28" t="str">
        <x:v>NOT_RUN</x:v>
      </x:c>
      <x:c r="U46" s="28" t="str"/>
      <x:c r="V46" s="28" t="str"/>
      <x:c r="W46" s="28" t="str"/>
      <x:c r="X46" s="28" t="str"/>
      <x:c r="Y46" s="28"/>
    </x:row>
    <x:row r="47">
      <x:c r="A47" s="28" t="str">
        <x:v>TRN-003</x:v>
      </x:c>
      <x:c r="B47" s="28" t="str">
        <x:v>1.0</x:v>
      </x:c>
      <x:c r="C47" s="28" t="str">
        <x:v>gold_seed</x:v>
      </x:c>
      <x:c r="D47" s="28" t="str">
        <x:v>Tournament_Formats</x:v>
      </x:c>
      <x:c r="E47" s="28" t="str">
        <x:v>Tournament types</x:v>
      </x:c>
      <x:c r="F47" s="28" t="str">
        <x:v>easy</x:v>
      </x:c>
      <x:c r="G47" s="28" t="str">
        <x:v>P1</x:v>
      </x:c>
      <x:c r="H47" s="28" t="str">
        <x:v>На какие два фундаментальных типа делятся турниры по классическому «Берсерку»?</x:v>
      </x:c>
      <x:c r="I47" s="28" t="str">
        <x:v>На Лимитед и Констрактед.</x:v>
      </x:c>
      <x:c r="J47" s="28" t="str">
        <x:v>Два типа: Limited (Лимитед) и Constructed (Констрактед).</x:v>
      </x:c>
      <x:c r="K47" s="28" t="str"/>
      <x:c r="L47" s="28" t="str">
        <x:v>answerable</x:v>
      </x:c>
      <x:c r="M47" s="28" t="str">
        <x:v>tournament_query</x:v>
      </x:c>
      <x:c r="N47" s="28" t="str">
        <x:v>tournament_rules</x:v>
      </x:c>
      <x:c r="O47" s="28" t="str">
        <x:v>SRC-003</x:v>
      </x:c>
      <x:c r="P47" s="28" t="str">
        <x:v>Да</x:v>
      </x:c>
      <x:c r="Q47" s="28" t="str">
        <x:v>Нет</x:v>
      </x:c>
      <x:c r="R47" s="28" t="str"/>
      <x:c r="S47" s="28" t="str"/>
      <x:c r="T47" s="28" t="str">
        <x:v>NOT_RUN</x:v>
      </x:c>
      <x:c r="U47" s="28" t="str"/>
      <x:c r="V47" s="28" t="str"/>
      <x:c r="W47" s="28" t="str"/>
      <x:c r="X47" s="28" t="str"/>
      <x:c r="Y47" s="28"/>
    </x:row>
    <x:row r="48">
      <x:c r="A48" s="28" t="str">
        <x:v>TRN-004</x:v>
      </x:c>
      <x:c r="B48" s="28" t="str">
        <x:v>1.0</x:v>
      </x:c>
      <x:c r="C48" s="28" t="str">
        <x:v>gold_seed</x:v>
      </x:c>
      <x:c r="D48" s="28" t="str">
        <x:v>Tournament_Formats</x:v>
      </x:c>
      <x:c r="E48" s="28" t="str">
        <x:v>Release events</x:v>
      </x:c>
      <x:c r="F48" s="28" t="str">
        <x:v>medium</x:v>
      </x:c>
      <x:c r="G48" s="28" t="str">
        <x:v>P1</x:v>
      </x:c>
      <x:c r="H48" s="28" t="str">
        <x:v>Какие три формата релизных турниров перечислены на официальной странице?</x:v>
      </x:c>
      <x:c r="I48" s="28" t="str">
        <x:v>Смешанный силед (стартовый набор + 2 бустера), силед на 4 бустерах и драфт на 3 бустерах.</x:v>
      </x:c>
      <x:c r="J48" s="28" t="str">
        <x:v>Смешанный силед: старт + 2 бустера; силед: 4 бустера; драфт: 3 бустера.</x:v>
      </x:c>
      <x:c r="K48" s="28" t="str"/>
      <x:c r="L48" s="28" t="str">
        <x:v>answerable</x:v>
      </x:c>
      <x:c r="M48" s="28" t="str">
        <x:v>tournament_query</x:v>
      </x:c>
      <x:c r="N48" s="28" t="str">
        <x:v>tournament_rules</x:v>
      </x:c>
      <x:c r="O48" s="28" t="str">
        <x:v>SRC-003</x:v>
      </x:c>
      <x:c r="P48" s="28" t="str">
        <x:v>Да</x:v>
      </x:c>
      <x:c r="Q48" s="28" t="str">
        <x:v>Да</x:v>
      </x:c>
      <x:c r="R48" s="28" t="str">
        <x:v>2026-10-03</x:v>
      </x:c>
      <x:c r="S48" s="28" t="str">
        <x:v>Организаторские форматы могут меняться; проверять актуальность.</x:v>
      </x:c>
      <x:c r="T48" s="28" t="str">
        <x:v>NOT_RUN</x:v>
      </x:c>
      <x:c r="U48" s="28" t="str"/>
      <x:c r="V48" s="28" t="str"/>
      <x:c r="W48" s="28" t="str"/>
      <x:c r="X48" s="28" t="str"/>
      <x:c r="Y48" s="28"/>
    </x:row>
    <x:row r="49">
      <x:c r="A49" s="28" t="str">
        <x:v>TRN-005</x:v>
      </x:c>
      <x:c r="B49" s="28" t="str">
        <x:v>1.0</x:v>
      </x:c>
      <x:c r="C49" s="28" t="str">
        <x:v>gold_seed</x:v>
      </x:c>
      <x:c r="D49" s="28" t="str">
        <x:v>Tournament_Formats</x:v>
      </x:c>
      <x:c r="E49" s="28" t="str">
        <x:v>Governance</x:v>
      </x:c>
      <x:c r="F49" s="28" t="str">
        <x:v>hard</x:v>
      </x:c>
      <x:c r="G49" s="28" t="str">
        <x:v>P1</x:v>
      </x:c>
      <x:c r="H49" s="28" t="str">
        <x:v>Что делает Общий Турнирный Центр (ОТЦ)?</x:v>
      </x:c>
      <x:c r="I49" s="28" t="str">
        <x:v>ОТЦ сертифицирует судей, разбирает жалобы на качество судейства, решает вопросы приостановления членства игроков, при необходимости банит карты, планирует турнирный сезон и поддерживает клубы и игроков по турнирным вопросам.</x:v>
      </x:c>
      <x:c r="J49" s="28" t="str">
        <x:v>Сертификация судей; жалобы на судейство; дисциплинарные вопросы; баны карт; планирование сезона; турнирная поддержка.</x:v>
      </x:c>
      <x:c r="K49" s="28" t="str"/>
      <x:c r="L49" s="28" t="str">
        <x:v>answerable</x:v>
      </x:c>
      <x:c r="M49" s="28" t="str">
        <x:v>tournament_query</x:v>
      </x:c>
      <x:c r="N49" s="28" t="str">
        <x:v>tournament_rules</x:v>
      </x:c>
      <x:c r="O49" s="28" t="str">
        <x:v>SRC-003</x:v>
      </x:c>
      <x:c r="P49" s="28" t="str">
        <x:v>Да</x:v>
      </x:c>
      <x:c r="Q49" s="28" t="str">
        <x:v>Нет</x:v>
      </x:c>
      <x:c r="R49" s="28" t="str"/>
      <x:c r="S49" s="28" t="str"/>
      <x:c r="T49" s="28" t="str">
        <x:v>NOT_RUN</x:v>
      </x:c>
      <x:c r="U49" s="28" t="str"/>
      <x:c r="V49" s="28" t="str"/>
      <x:c r="W49" s="28" t="str"/>
      <x:c r="X49" s="28" t="str"/>
      <x:c r="Y49" s="28"/>
    </x:row>
    <x:row r="50">
      <x:c r="A50" s="28" t="str">
        <x:v>NEG-001</x:v>
      </x:c>
      <x:c r="B50" s="28" t="str">
        <x:v>1.0</x:v>
      </x:c>
      <x:c r="C50" s="28" t="str">
        <x:v>gold_seed</x:v>
      </x:c>
      <x:c r="D50" s="28" t="str">
        <x:v>Negative_OutOfScope</x:v>
      </x:c>
      <x:c r="E50" s="28" t="str">
        <x:v>External world</x:v>
      </x:c>
      <x:c r="F50" s="28" t="str">
        <x:v>easy</x:v>
      </x:c>
      <x:c r="G50" s="28" t="str">
        <x:v>P2</x:v>
      </x:c>
      <x:c r="H50" s="28" t="str">
        <x:v>Какая сегодня погода в Самаре?</x:v>
      </x:c>
      <x:c r="I50" s="28" t="str">
        <x:v>В базе знаний по ККИ «Берсерк» нет данных о погоде. Ассистент должен сообщить, что вопрос вне области базы, а не придумывать ответ.</x:v>
      </x:c>
      <x:c r="J50" s="28" t="str">
        <x:v>Явно указать отсутствие релевантных данных в KB / out-of-scope.</x:v>
      </x:c>
      <x:c r="K50" s="28" t="str">
        <x:v>Не сообщать выдуманную температуру, прогноз или ссылку на несуществующий источник.</x:v>
      </x:c>
      <x:c r="L50" s="28" t="str">
        <x:v>unanswerable</x:v>
      </x:c>
      <x:c r="M50" s="28" t="str">
        <x:v>out_of_scope</x:v>
      </x:c>
      <x:c r="N50" s="28" t="str">
        <x:v>none</x:v>
      </x:c>
      <x:c r="O50" s="28" t="str">
        <x:v>SRC-001;SRC-002;SRC-004</x:v>
      </x:c>
      <x:c r="P50" s="28" t="str">
        <x:v>Да</x:v>
      </x:c>
      <x:c r="Q50" s="28" t="str">
        <x:v>Нет</x:v>
      </x:c>
      <x:c r="R50" s="28" t="str"/>
      <x:c r="S50" s="28" t="str"/>
      <x:c r="T50" s="28" t="str">
        <x:v>NOT_RUN</x:v>
      </x:c>
      <x:c r="U50" s="28" t="str"/>
      <x:c r="V50" s="28" t="str"/>
      <x:c r="W50" s="28" t="str"/>
      <x:c r="X50" s="28" t="str"/>
      <x:c r="Y50" s="28"/>
    </x:row>
    <x:row r="51">
      <x:c r="A51" s="28" t="str">
        <x:v>NEG-002</x:v>
      </x:c>
      <x:c r="B51" s="28" t="str">
        <x:v>1.0</x:v>
      </x:c>
      <x:c r="C51" s="28" t="str">
        <x:v>gold_seed</x:v>
      </x:c>
      <x:c r="D51" s="28" t="str">
        <x:v>Negative_OutOfScope</x:v>
      </x:c>
      <x:c r="E51" s="28" t="str">
        <x:v>Unsupported analytics</x:v>
      </x:c>
      <x:c r="F51" s="28" t="str">
        <x:v>medium</x:v>
      </x:c>
      <x:c r="G51" s="28" t="str">
        <x:v>P1</x:v>
      </x:c>
      <x:c r="H51" s="28" t="str">
        <x:v>Какой винрейт у Дхайи в текущей турнирной мете?</x:v>
      </x:c>
      <x:c r="I51" s="28" t="str">
        <x:v>По перечисленным официальным источникам достоверный текущий винрейт Дхайи не установлен. Ассистент должен обозначить отсутствие статистики, а не генерировать число.</x:v>
      </x:c>
      <x:c r="J51" s="28" t="str">
        <x:v>Нет подтверждённого числового винрейта в используемой официальной KB; нужно сказать об отсутствии данных.</x:v>
      </x:c>
      <x:c r="K51" s="28" t="str">
        <x:v>Не выдумывать процент побед, выборку, рейтинг или мета-статистику.</x:v>
      </x:c>
      <x:c r="L51" s="28" t="str">
        <x:v>unanswerable</x:v>
      </x:c>
      <x:c r="M51" s="28" t="str">
        <x:v>unsupported_analytics</x:v>
      </x:c>
      <x:c r="N51" s="28" t="str">
        <x:v>card_db+tournament_rules</x:v>
      </x:c>
      <x:c r="O51" s="28" t="str">
        <x:v>CARD-001;SRC-003</x:v>
      </x:c>
      <x:c r="P51" s="28" t="str">
        <x:v>Да</x:v>
      </x:c>
      <x:c r="Q51" s="28" t="str">
        <x:v>Нет</x:v>
      </x:c>
      <x:c r="R51" s="28" t="str"/>
      <x:c r="S51" s="28" t="str"/>
      <x:c r="T51" s="28" t="str">
        <x:v>NOT_RUN</x:v>
      </x:c>
      <x:c r="U51" s="28" t="str"/>
      <x:c r="V51" s="28" t="str"/>
      <x:c r="W51" s="28" t="str"/>
      <x:c r="X51" s="28" t="str"/>
      <x:c r="Y51" s="28"/>
    </x:row>
  </x:sheetData>
  <x:conditionalFormatting sqref="W2:W51">
    <x:cfRule type="expression" dxfId="0" priority="1">
      <x:formula>W2="FAIL"</x:formula>
    </x:cfRule>
    <x:cfRule type="expression" dxfId="1" priority="2">
      <x:formula>W2="PASS"</x:formula>
    </x:cfRule>
    <x:cfRule type="expression" dxfId="2" priority="3">
      <x:formula>W2="PARTIAL"</x:formula>
    </x:cfRule>
  </x:conditionalFormatting>
  <x:dataValidations count="7">
    <x:dataValidation type="list" sqref="F2:F51">
      <x:formula1>"easy,medium,hard"</x:formula1>
    </x:dataValidation>
    <x:dataValidation type="list" sqref="G2:G51">
      <x:formula1>"P0,P1,P2"</x:formula1>
    </x:dataValidation>
    <x:dataValidation type="list" sqref="L2:L51">
      <x:formula1>"answerable,unanswerable"</x:formula1>
    </x:dataValidation>
    <x:dataValidation type="list" sqref="P2:P51">
      <x:formula1>"Да,Нет"</x:formula1>
    </x:dataValidation>
    <x:dataValidation type="list" sqref="Q2:Q51">
      <x:formula1>"Да,Нет"</x:formula1>
    </x:dataValidation>
    <x:dataValidation type="list" sqref="T2:T51">
      <x:formula1>"NOT_RUN,RUNNING,DONE"</x:formula1>
    </x:dataValidation>
    <x:dataValidation type="list" sqref="W2:W51">
      <x:formula1>",PASS,PARTIAL,FAIL,NOT_RUN"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abbf2a966f44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14" hidden="0" customWidth="1"/>
    <x:col min="5" max="5" width="12" hidden="0" customWidth="1"/>
    <x:col min="6" max="6" width="14" hidden="0" customWidth="1"/>
    <x:col min="7" max="7" width="52" hidden="0" customWidth="1"/>
    <x:col min="8" max="8" width="50" hidden="0" customWidth="1"/>
  </x:cols>
  <x:sheetData>
    <x:row r="1">
      <x:c r="A1" s="12" t="str">
        <x:v>source_id</x:v>
      </x:c>
      <x:c r="B1" s="12" t="str">
        <x:v>name</x:v>
      </x:c>
      <x:c r="C1" s="12" t="str">
        <x:v>source_type</x:v>
      </x:c>
      <x:c r="D1" s="12" t="str">
        <x:v>authority_tier</x:v>
      </x:c>
      <x:c r="E1" s="12" t="str">
        <x:v>official</x:v>
      </x:c>
      <x:c r="F1" s="12" t="str">
        <x:v>temporal</x:v>
      </x:c>
      <x:c r="G1" s="12" t="str">
        <x:v>url</x:v>
      </x:c>
      <x:c r="H1" s="12" t="str">
        <x:v>scope</x:v>
      </x:c>
      <x:c r="I1" s="12" t="str">
        <x:v>notes</x:v>
      </x:c>
    </x:row>
    <x:row r="2">
      <x:c r="A2" s="28" t="str">
        <x:v>SRC-001</x:v>
      </x:c>
      <x:c r="B2" s="28" t="str">
        <x:v>Официальные базовые правила ККИ «Берсерк»</x:v>
      </x:c>
      <x:c r="C2" s="28" t="str">
        <x:v>official_site_rules</x:v>
      </x:c>
      <x:c r="D2" s="28" t="n">
        <x:v>1</x:v>
      </x:c>
      <x:c r="E2" s="28" t="str">
        <x:v>Да</x:v>
      </x:c>
      <x:c r="F2" s="28" t="str">
        <x:v>Нет</x:v>
      </x:c>
      <x:c r="G2" s="28" t="str">
        <x:v>https://berserk.ru/pravila-igri</x:v>
      </x:c>
      <x:c r="H2" s="28" t="str">
        <x:v>Базовые правила, подготовка, поле, движение, атаки, дальность, победа</x:v>
      </x:c>
      <x:c r="I2" t="str">
        <x:v>Основной стабильный источник для вопросов по базовым правилам.</x:v>
      </x:c>
    </x:row>
    <x:row r="3">
      <x:c r="A3" s="28" t="str">
        <x:v>SRC-002</x:v>
      </x:c>
      <x:c r="B3" s="28" t="str">
        <x:v>Официальный глоссарий ККИ «Берсерк»</x:v>
      </x:c>
      <x:c r="C3" s="28" t="str">
        <x:v>official_site_glossary</x:v>
      </x:c>
      <x:c r="D3" s="28" t="n">
        <x:v>1</x:v>
      </x:c>
      <x:c r="E3" s="28" t="str">
        <x:v>Да</x:v>
      </x:c>
      <x:c r="F3" s="28" t="str">
        <x:v>Нет</x:v>
      </x:c>
      <x:c r="G3" s="28" t="str">
        <x:v>https://berserk.ru/glossary</x:v>
      </x:c>
      <x:c r="H3" s="28" t="str">
        <x:v>Определения игровых терминов и механик</x:v>
      </x:c>
      <x:c r="I3" t="str">
        <x:v>Основной источник для механик и терминологии.</x:v>
      </x:c>
    </x:row>
    <x:row r="4">
      <x:c r="A4" s="28" t="str">
        <x:v>SRC-003</x:v>
      </x:c>
      <x:c r="B4" s="28" t="str">
        <x:v>Официальная турнирная страница ККИ «Берсерк»</x:v>
      </x:c>
      <x:c r="C4" s="28" t="str">
        <x:v>official_site_tournament</x:v>
      </x:c>
      <x:c r="D4" s="28" t="n">
        <x:v>1</x:v>
      </x:c>
      <x:c r="E4" s="28" t="str">
        <x:v>Да</x:v>
      </x:c>
      <x:c r="F4" s="28" t="str">
        <x:v>Частично</x:v>
      </x:c>
      <x:c r="G4" s="28" t="str">
        <x:v>https://berserk.ru/company/tournament</x:v>
      </x:c>
      <x:c r="H4" s="28" t="str">
        <x:v>Констрактед, лимитед, Стандарт, релизные турниры, ОТЦ</x:v>
      </x:c>
      <x:c r="I4" t="str">
        <x:v>Для динамических сведений всегда учитывать дату снимка.</x:v>
      </x:c>
    </x:row>
    <x:row r="5">
      <x:c r="A5" s="28" t="str">
        <x:v>SRC-004</x:v>
      </x:c>
      <x:c r="B5" s="28" t="str">
        <x:v>Официальный сайт ККИ «Берсерк»</x:v>
      </x:c>
      <x:c r="C5" s="28" t="str">
        <x:v>official_site</x:v>
      </x:c>
      <x:c r="D5" s="28" t="n">
        <x:v>1</x:v>
      </x:c>
      <x:c r="E5" s="28" t="str">
        <x:v>Да</x:v>
      </x:c>
      <x:c r="F5" s="28" t="str">
        <x:v>Частично</x:v>
      </x:c>
      <x:c r="G5" s="28" t="str">
        <x:v>https://berserk.ru/</x:v>
      </x:c>
      <x:c r="H5" s="28" t="str">
        <x:v>Новости, база карт, ссылки на официальные ресурсы</x:v>
      </x:c>
      <x:c r="I5" t="str">
        <x:v>Правообладатель/разработчик на сайте указан как «Мир Хобби».</x:v>
      </x:c>
    </x:row>
    <x:row r="6">
      <x:c r="A6" s="28" t="str">
        <x:v>SRC-005</x:v>
      </x:c>
      <x:c r="B6" s="28" t="str">
        <x:v>Официальная группа ККИ «Берсерк» во ВКонтакте</x:v>
      </x:c>
      <x:c r="C6" s="28" t="str">
        <x:v>official_social_vk</x:v>
      </x:c>
      <x:c r="D6" s="28" t="n">
        <x:v>1</x:v>
      </x:c>
      <x:c r="E6" s="28" t="str">
        <x:v>Да</x:v>
      </x:c>
      <x:c r="F6" s="28" t="str">
        <x:v>Да</x:v>
      </x:c>
      <x:c r="G6" s="28" t="str">
        <x:v>https://vk.com/berserk_tcg</x:v>
      </x:c>
      <x:c r="H6" s="28" t="str">
        <x:v>Полные правила, официальные объявления, материалы и документы</x:v>
      </x:c>
      <x:c r="I6" t="str">
        <x:v>Ссылка на группу дана с официального сайта. Использовать как приоритетный канал для актуальных документов.</x:v>
      </x:c>
    </x:row>
    <x:row r="7">
      <x:c r="A7" s="28" t="str">
        <x:v>SRC-006</x:v>
      </x:c>
      <x:c r="B7" s="28" t="str">
        <x:v>Официальный Telegram издательства Hobby World</x:v>
      </x:c>
      <x:c r="C7" s="28" t="str">
        <x:v>official_social_telegram</x:v>
      </x:c>
      <x:c r="D7" s="28" t="n">
        <x:v>2</x:v>
      </x:c>
      <x:c r="E7" s="28" t="str">
        <x:v>Да</x:v>
      </x:c>
      <x:c r="F7" s="28" t="str">
        <x:v>Да</x:v>
      </x:c>
      <x:c r="G7" s="28" t="str">
        <x:v>https://t.me/hobbyworld_news</x:v>
      </x:c>
      <x:c r="H7" s="28" t="str">
        <x:v>Новости издательства и релизы, включая ККИ «Берсерк»</x:v>
      </x:c>
      <x:c r="I7" t="str">
        <x:v>Вспомогательный источник; не использовать вместо правил для спорных игровых трактовок.</x:v>
      </x:c>
    </x:row>
    <x:row r="8">
      <x:c r="A8" s="28" t="str">
        <x:v>SRC-007</x:v>
      </x:c>
      <x:c r="B8" s="28" t="str">
        <x:v>Официальный Telegram сети Hobby Games</x:v>
      </x:c>
      <x:c r="C8" s="28" t="str">
        <x:v>official_social_telegram</x:v>
      </x:c>
      <x:c r="D8" s="28" t="n">
        <x:v>2</x:v>
      </x:c>
      <x:c r="E8" s="28" t="str">
        <x:v>Да</x:v>
      </x:c>
      <x:c r="F8" s="28" t="str">
        <x:v>Да</x:v>
      </x:c>
      <x:c r="G8" s="28" t="str">
        <x:v>https://t.me/hobby_games</x:v>
      </x:c>
      <x:c r="H8" s="28" t="str">
        <x:v>Новости, релизы, мероприятия, публикации о «Берсерке»</x:v>
      </x:c>
      <x:c r="I8" t="str">
        <x:v>Вспомогательный источник; полезен для актуальных анонсов и событий.</x:v>
      </x:c>
    </x:row>
    <x:row r="9">
      <x:c r="A9" s="28" t="str">
        <x:v>CARD-001</x:v>
      </x:c>
      <x:c r="B9" s="28" t="str">
        <x:v>Официальная карточка: Дхайа</x:v>
      </x:c>
      <x:c r="C9" s="28" t="str">
        <x:v>official_card_database</x:v>
      </x:c>
      <x:c r="D9" s="28" t="n">
        <x:v>1</x:v>
      </x:c>
      <x:c r="E9" s="28" t="str">
        <x:v>Да</x:v>
      </x:c>
      <x:c r="F9" s="28" t="str">
        <x:v>Частично</x:v>
      </x:c>
      <x:c r="G9" s="28" t="str">
        <x:v>https://berserk.ru/?card_id=98852&amp;route=card%2Fcard</x:v>
      </x:c>
      <x:c r="H9" s="28" t="str">
        <x:v>Характеристики, текст карты и FAQ; выпуск «Нашествие тьмы»</x:v>
      </x:c>
      <x:c r="I9" t="str">
        <x:v>Карточечный FAQ/эррата считается приоритетным для вопросов по конкретной карте.</x:v>
      </x:c>
    </x:row>
    <x:row r="10">
      <x:c r="A10" s="28" t="str">
        <x:v>CARD-002</x:v>
      </x:c>
      <x:c r="B10" s="28" t="str">
        <x:v>Официальная карточка: Лёгкая кавалерия</x:v>
      </x:c>
      <x:c r="C10" s="28" t="str">
        <x:v>official_card_database</x:v>
      </x:c>
      <x:c r="D10" s="28" t="n">
        <x:v>1</x:v>
      </x:c>
      <x:c r="E10" s="28" t="str">
        <x:v>Да</x:v>
      </x:c>
      <x:c r="F10" s="28" t="str">
        <x:v>Частично</x:v>
      </x:c>
      <x:c r="G10" s="28" t="str">
        <x:v>https://berserk.ru/?card_id=100509&amp;route=card%2Fcard</x:v>
      </x:c>
      <x:c r="H10" s="28" t="str">
        <x:v>Характеристики, текст карты и FAQ; выпуск «Призрачный легион»</x:v>
      </x:c>
      <x:c r="I10" t="str">
        <x:v>Карточечный FAQ/эррата считается приоритетным для вопросов по конкретной карте.</x:v>
      </x:c>
    </x:row>
    <x:row r="11">
      <x:c r="A11" s="28" t="str">
        <x:v>CARD-003</x:v>
      </x:c>
      <x:c r="B11" s="28" t="str">
        <x:v>Официальная карточка: Древний огр</x:v>
      </x:c>
      <x:c r="C11" s="28" t="str">
        <x:v>official_card_database</x:v>
      </x:c>
      <x:c r="D11" s="28" t="n">
        <x:v>1</x:v>
      </x:c>
      <x:c r="E11" s="28" t="str">
        <x:v>Да</x:v>
      </x:c>
      <x:c r="F11" s="28" t="str">
        <x:v>Частично</x:v>
      </x:c>
      <x:c r="G11" s="28" t="str">
        <x:v>https://berserk.ru/?card_id=98399&amp;route=card%2Fcard</x:v>
      </x:c>
      <x:c r="H11" s="28" t="str">
        <x:v>Характеристики, текст карты и FAQ; выпуск «Война стихий»</x:v>
      </x:c>
      <x:c r="I11" t="str">
        <x:v>Карточечный FAQ/эррата считается приоритетным для вопросов по конкретной карте.</x:v>
      </x:c>
    </x:row>
    <x:row r="12">
      <x:c r="A12" s="28" t="str">
        <x:v>CARD-004</x:v>
      </x:c>
      <x:c r="B12" s="28" t="str">
        <x:v>Официальная карточка: Викарий</x:v>
      </x:c>
      <x:c r="C12" s="28" t="str">
        <x:v>official_card_database</x:v>
      </x:c>
      <x:c r="D12" s="28" t="n">
        <x:v>1</x:v>
      </x:c>
      <x:c r="E12" s="28" t="str">
        <x:v>Да</x:v>
      </x:c>
      <x:c r="F12" s="28" t="str">
        <x:v>Частично</x:v>
      </x:c>
      <x:c r="G12" s="28" t="str">
        <x:v>https://berserk.ru/?card_id=101085&amp;route=card%2Fcard</x:v>
      </x:c>
      <x:c r="H12" s="28" t="str">
        <x:v>Характеристики, текст карты и FAQ; выпуск «Гибель богов»</x:v>
      </x:c>
      <x:c r="I12" t="str">
        <x:v>Карточечный FAQ/эррата считается приоритетным для вопросов по конкретной карте.</x:v>
      </x:c>
    </x:row>
    <x:row r="13">
      <x:c r="A13" s="28" t="str">
        <x:v>CARD-005</x:v>
      </x:c>
      <x:c r="B13" s="28" t="str">
        <x:v>Официальная карточка: Жрец штормов</x:v>
      </x:c>
      <x:c r="C13" s="28" t="str">
        <x:v>official_card_database</x:v>
      </x:c>
      <x:c r="D13" s="28" t="n">
        <x:v>1</x:v>
      </x:c>
      <x:c r="E13" s="28" t="str">
        <x:v>Да</x:v>
      </x:c>
      <x:c r="F13" s="28" t="str">
        <x:v>Частично</x:v>
      </x:c>
      <x:c r="G13" s="28" t="str">
        <x:v>https://berserk.ru/?card_id=98847&amp;route=card%2Fcard</x:v>
      </x:c>
      <x:c r="H13" s="28" t="str">
        <x:v>Характеристики, текст карты и FAQ; выпуск «Нашествие тьмы»</x:v>
      </x:c>
      <x:c r="I13" t="str">
        <x:v>Карточечный FAQ/эррата считается приоритетным для вопросов по конкретной карте.</x:v>
      </x:c>
    </x:row>
    <x:row r="14">
      <x:c r="A14" s="28" t="str">
        <x:v>CARD-006</x:v>
      </x:c>
      <x:c r="B14" s="28" t="str">
        <x:v>Официальная карточка: Землекоп</x:v>
      </x:c>
      <x:c r="C14" s="28" t="str">
        <x:v>official_card_database</x:v>
      </x:c>
      <x:c r="D14" s="28" t="n">
        <x:v>1</x:v>
      </x:c>
      <x:c r="E14" s="28" t="str">
        <x:v>Да</x:v>
      </x:c>
      <x:c r="F14" s="28" t="str">
        <x:v>Частично</x:v>
      </x:c>
      <x:c r="G14" s="28" t="str">
        <x:v>https://berserk.ru/?card_id=98815&amp;route=card%2Fcard</x:v>
      </x:c>
      <x:c r="H14" s="28" t="str">
        <x:v>Характеристики, текст карты и FAQ; выпуск «Нашествие тьмы»</x:v>
      </x:c>
      <x:c r="I14" t="str">
        <x:v>Карточечный FAQ/эррата считается приоритетным для вопросов по конкретной карте.</x:v>
      </x:c>
    </x:row>
    <x:row r="15">
      <x:c r="A15" s="28" t="str">
        <x:v>CARD-007</x:v>
      </x:c>
      <x:c r="B15" s="28" t="str">
        <x:v>Официальная карточка: Древляна</x:v>
      </x:c>
      <x:c r="C15" s="28" t="str">
        <x:v>official_card_database</x:v>
      </x:c>
      <x:c r="D15" s="28" t="n">
        <x:v>1</x:v>
      </x:c>
      <x:c r="E15" s="28" t="str">
        <x:v>Да</x:v>
      </x:c>
      <x:c r="F15" s="28" t="str">
        <x:v>Частично</x:v>
      </x:c>
      <x:c r="G15" s="28" t="str">
        <x:v>https://berserk.ru/?card_id=100980&amp;route=card%2Fcard</x:v>
      </x:c>
      <x:c r="H15" s="28" t="str">
        <x:v>Характеристики, текст карты и FAQ; выпуск «Гибель богов»</x:v>
      </x:c>
      <x:c r="I15" t="str">
        <x:v>Карточечный FAQ/эррата считается приоритетным для вопросов по конкретной карте.</x:v>
      </x:c>
    </x:row>
    <x:row r="16">
      <x:c r="A16" s="28" t="str">
        <x:v>CARD-008</x:v>
      </x:c>
      <x:c r="B16" s="28" t="str">
        <x:v>Официальная карточка: Азенаэль</x:v>
      </x:c>
      <x:c r="C16" s="28" t="str">
        <x:v>official_card_database</x:v>
      </x:c>
      <x:c r="D16" s="28" t="n">
        <x:v>1</x:v>
      </x:c>
      <x:c r="E16" s="28" t="str">
        <x:v>Да</x:v>
      </x:c>
      <x:c r="F16" s="28" t="str">
        <x:v>Частично</x:v>
      </x:c>
      <x:c r="G16" s="28" t="str">
        <x:v>https://berserk.ru/?card_id=101091&amp;route=card%2Fcard</x:v>
      </x:c>
      <x:c r="H16" s="28" t="str">
        <x:v>Характеристики, текст карты и FAQ; выпуск «Гибель богов»</x:v>
      </x:c>
      <x:c r="I16" t="str">
        <x:v>Карточечный FAQ/эррата считается приоритетным для вопросов по конкретной карте.</x:v>
      </x:c>
    </x:row>
    <x:row r="17">
      <x:c r="A17" s="28" t="str">
        <x:v>CARD-009</x:v>
      </x:c>
      <x:c r="B17" s="28" t="str">
        <x:v>Официальная карточка: Мастер разума</x:v>
      </x:c>
      <x:c r="C17" s="28" t="str">
        <x:v>official_card_database</x:v>
      </x:c>
      <x:c r="D17" s="28" t="n">
        <x:v>1</x:v>
      </x:c>
      <x:c r="E17" s="28" t="str">
        <x:v>Да</x:v>
      </x:c>
      <x:c r="F17" s="28" t="str">
        <x:v>Частично</x:v>
      </x:c>
      <x:c r="G17" s="28" t="str">
        <x:v>https://berserk.ru/?card_id=98846&amp;route=card%2Fcard</x:v>
      </x:c>
      <x:c r="H17" s="28" t="str">
        <x:v>Характеристики, текст карты и FAQ; выпуск «Нашествие тьмы»</x:v>
      </x:c>
      <x:c r="I17" t="str">
        <x:v>Карточечный FAQ/эррата считается приоритетным для вопросов по конкретной карте.</x:v>
      </x:c>
    </x:row>
    <x:row r="18">
      <x:c r="A18" s="28" t="str">
        <x:v>CARD-010</x:v>
      </x:c>
      <x:c r="B18" s="28" t="str">
        <x:v>Официальная карточка: Кицунэ</x:v>
      </x:c>
      <x:c r="C18" s="28" t="str">
        <x:v>official_card_database</x:v>
      </x:c>
      <x:c r="D18" s="28" t="n">
        <x:v>1</x:v>
      </x:c>
      <x:c r="E18" s="28" t="str">
        <x:v>Да</x:v>
      </x:c>
      <x:c r="F18" s="28" t="str">
        <x:v>Частично</x:v>
      </x:c>
      <x:c r="G18" s="28" t="str">
        <x:v>https://berserk.ru/?card_id=100969&amp;route=card%2Fcard</x:v>
      </x:c>
      <x:c r="H18" s="28" t="str">
        <x:v>Характеристики, текст карты и FAQ; выпуск «Гибель богов»</x:v>
      </x:c>
      <x:c r="I18" t="str">
        <x:v>Карточечный FAQ/эррата считается приоритетным для вопросов по конкретной карте.</x:v>
      </x:c>
    </x:row>
  </x:sheetData>
  <x:pageMargins left="0.7" right="0.7" top="0.75" bottom="0.75" header="0.3" footer="0.3"/>
  <x:tableParts count="1">
    <x:tablePart xmlns:r="http://schemas.openxmlformats.org/officeDocument/2006/relationships" r:id="R27a2c772fd0144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32" hidden="0" customWidth="1"/>
    <x:col min="5" max="5" width="38" hidden="0" customWidth="1"/>
    <x:col min="6" max="6" width="44" hidden="0" customWidth="1"/>
    <x:col min="7" max="7" width="52" hidden="0" customWidth="1"/>
    <x:col min="8" max="8" width="18" hidden="0" customWidth="1"/>
    <x:col min="9" max="9" width="14" hidden="0" customWidth="1"/>
    <x:col min="10" max="10" width="34" hidden="0" customWidth="1"/>
  </x:cols>
  <x:sheetData>
    <x:row r="1">
      <x:c r="A1" s="12" t="str">
        <x:v>test_id</x:v>
      </x:c>
      <x:c r="B1" s="12" t="str">
        <x:v>layer</x:v>
      </x:c>
      <x:c r="C1" s="12" t="str">
        <x:v>priority</x:v>
      </x:c>
      <x:c r="D1" s="12" t="str">
        <x:v>check</x:v>
      </x:c>
      <x:c r="E1" s="12" t="str">
        <x:v>preconditions</x:v>
      </x:c>
      <x:c r="F1" s="12" t="str">
        <x:v>steps</x:v>
      </x:c>
      <x:c r="G1" s="12" t="str">
        <x:v>expected_result</x:v>
      </x:c>
      <x:c r="H1" s="12" t="str">
        <x:v>automation_candidate</x:v>
      </x:c>
      <x:c r="I1" s="12" t="str">
        <x:v>status</x:v>
      </x:c>
      <x:c r="J1" s="12" t="str">
        <x:v>notes</x:v>
      </x:c>
    </x:row>
    <x:row r="2">
      <x:c r="A2" s="28" t="str">
        <x:v>SMK-001</x:v>
      </x:c>
      <x:c r="B2" s="28" t="str">
        <x:v>Backend</x:v>
      </x:c>
      <x:c r="C2" s="28" t="str">
        <x:v>P0</x:v>
      </x:c>
      <x:c r="D2" s="28" t="str">
        <x:v>Запуск backend-приложения</x:v>
      </x:c>
      <x:c r="E2" s="28" t="str">
        <x:v>Окружение настроено, зависимости установлены</x:v>
      </x:c>
      <x:c r="F2" s="28" t="str">
        <x:v>Запустить приложение штатной командой.</x:v>
      </x:c>
      <x:c r="G2" s="28" t="str">
        <x:v>Процесс стартует без необработанного traceback и остаётся активным.</x:v>
      </x:c>
      <x:c r="H2" s="28" t="str">
        <x:v>Да</x:v>
      </x:c>
      <x:c r="I2" s="28" t="str">
        <x:v>NOT_RUN</x:v>
      </x:c>
      <x:c r="J2" s="28" t="str"/>
    </x:row>
    <x:row r="3">
      <x:c r="A3" s="28" t="str">
        <x:v>SMK-002</x:v>
      </x:c>
      <x:c r="B3" s="28" t="str">
        <x:v>Bot</x:v>
      </x:c>
      <x:c r="C3" s="28" t="str">
        <x:v>P0</x:v>
      </x:c>
      <x:c r="D3" s="28" t="str">
        <x:v>Запуск Telegram bot polling</x:v>
      </x:c>
      <x:c r="E3" s="28" t="str">
        <x:v>BOT_TOKEN задан, сеть доступна</x:v>
      </x:c>
      <x:c r="F3" s="28" t="str">
        <x:v>Запустить Telegram-бота.</x:v>
      </x:c>
      <x:c r="G3" s="28" t="str">
        <x:v>Бот успешно входит в polling и не завершается с ошибкой.</x:v>
      </x:c>
      <x:c r="H3" s="28" t="str">
        <x:v>Да</x:v>
      </x:c>
      <x:c r="I3" s="28" t="str">
        <x:v>NOT_RUN</x:v>
      </x:c>
      <x:c r="J3" s="28" t="str"/>
    </x:row>
    <x:row r="4">
      <x:c r="A4" s="28" t="str">
        <x:v>SMK-003</x:v>
      </x:c>
      <x:c r="B4" s="28" t="str">
        <x:v>Bot UX</x:v>
      </x:c>
      <x:c r="C4" s="28" t="str">
        <x:v>P0</x:v>
      </x:c>
      <x:c r="D4" s="28" t="str">
        <x:v>Команда /start</x:v>
      </x:c>
      <x:c r="E4" s="28" t="str">
        <x:v>Бот запущен</x:v>
      </x:c>
      <x:c r="F4" s="28" t="str">
        <x:v>Отправить /start.</x:v>
      </x:c>
      <x:c r="G4" s="28" t="str">
        <x:v>Пользователь получает стартовое сообщение; процесс бота не падает.</x:v>
      </x:c>
      <x:c r="H4" s="28" t="str">
        <x:v>Да</x:v>
      </x:c>
      <x:c r="I4" s="28" t="str">
        <x:v>NOT_RUN</x:v>
      </x:c>
      <x:c r="J4" s="28" t="str"/>
    </x:row>
    <x:row r="5">
      <x:c r="A5" s="28" t="str">
        <x:v>SMK-004</x:v>
      </x:c>
      <x:c r="B5" s="28" t="str">
        <x:v>Bot UX</x:v>
      </x:c>
      <x:c r="C5" s="28" t="str">
        <x:v>P1</x:v>
      </x:c>
      <x:c r="D5" s="28" t="str">
        <x:v>Команда /help</x:v>
      </x:c>
      <x:c r="E5" s="28" t="str">
        <x:v>Бот запущен</x:v>
      </x:c>
      <x:c r="F5" s="28" t="str">
        <x:v>Отправить /help.</x:v>
      </x:c>
      <x:c r="G5" s="28" t="str">
        <x:v>Пользователь получает краткую справку/подсказку по использованию.</x:v>
      </x:c>
      <x:c r="H5" s="28" t="str">
        <x:v>Да</x:v>
      </x:c>
      <x:c r="I5" s="28" t="str">
        <x:v>NOT_RUN</x:v>
      </x:c>
      <x:c r="J5" s="28" t="str"/>
    </x:row>
    <x:row r="6">
      <x:c r="A6" s="28" t="str">
        <x:v>SMK-005</x:v>
      </x:c>
      <x:c r="B6" s="28" t="str">
        <x:v>Integration</x:v>
      </x:c>
      <x:c r="C6" s="28" t="str">
        <x:v>P0</x:v>
      </x:c>
      <x:c r="D6" s="28" t="str">
        <x:v>Передача текстового вопроса в backend/RAG</x:v>
      </x:c>
      <x:c r="E6" s="28" t="str">
        <x:v>Bot + backend запущены</x:v>
      </x:c>
      <x:c r="F6" s="28" t="str">
        <x:v>Отправить валидный текстовый вопрос по «Берсерку».</x:v>
      </x:c>
      <x:c r="G6" s="28" t="str">
        <x:v>Вопрос доходит до rag.answer() или эквивалентной точки вызова.</x:v>
      </x:c>
      <x:c r="H6" s="28" t="str">
        <x:v>Да</x:v>
      </x:c>
      <x:c r="I6" s="28" t="str">
        <x:v>NOT_RUN</x:v>
      </x:c>
      <x:c r="J6" s="28" t="str"/>
    </x:row>
    <x:row r="7">
      <x:c r="A7" s="28" t="str">
        <x:v>SMK-006</x:v>
      </x:c>
      <x:c r="B7" s="28" t="str">
        <x:v>RAG API</x:v>
      </x:c>
      <x:c r="C7" s="28" t="str">
        <x:v>P0</x:v>
      </x:c>
      <x:c r="D7" s="28" t="str">
        <x:v>Возврат результата rag.answer()</x:v>
      </x:c>
      <x:c r="E7" s="28" t="str">
        <x:v>RAG-функция доступна</x:v>
      </x:c>
      <x:c r="F7" s="28" t="str">
        <x:v>Вызвать rag.answer() на простом вопросе.</x:v>
      </x:c>
      <x:c r="G7" s="28" t="str">
        <x:v>Функция возвращает непустой результат ожидаемого типа, без необработанной ошибки.</x:v>
      </x:c>
      <x:c r="H7" s="28" t="str">
        <x:v>Да</x:v>
      </x:c>
      <x:c r="I7" s="28" t="str">
        <x:v>NOT_RUN</x:v>
      </x:c>
      <x:c r="J7" s="28" t="str"/>
    </x:row>
    <x:row r="8">
      <x:c r="A8" s="28" t="str">
        <x:v>SMK-007</x:v>
      </x:c>
      <x:c r="B8" s="28" t="str">
        <x:v>End-to-end</x:v>
      </x:c>
      <x:c r="C8" s="28" t="str">
        <x:v>P0</x:v>
      </x:c>
      <x:c r="D8" s="28" t="str">
        <x:v>Ответ возвращается пользователю</x:v>
      </x:c>
      <x:c r="E8" s="28" t="str">
        <x:v>Bot + backend + RAG доступны</x:v>
      </x:c>
      <x:c r="F8" s="28" t="str">
        <x:v>Отправить вопрос через Telegram и дождаться результата.</x:v>
      </x:c>
      <x:c r="G8" s="28" t="str">
        <x:v>Пользователь получает финальный текстовый ответ.</x:v>
      </x:c>
      <x:c r="H8" s="28" t="str">
        <x:v>Да</x:v>
      </x:c>
      <x:c r="I8" s="28" t="str">
        <x:v>NOT_RUN</x:v>
      </x:c>
      <x:c r="J8" s="28" t="str"/>
    </x:row>
    <x:row r="9">
      <x:c r="A9" s="28" t="str">
        <x:v>SMK-008</x:v>
      </x:c>
      <x:c r="B9" s="28" t="str">
        <x:v>Error handling</x:v>
      </x:c>
      <x:c r="C9" s="28" t="str">
        <x:v>P1</x:v>
      </x:c>
      <x:c r="D9" s="28" t="str">
        <x:v>Пустой/некорректный ввод</x:v>
      </x:c>
      <x:c r="E9" s="28" t="str">
        <x:v>Бот запущен</x:v>
      </x:c>
      <x:c r="F9" s="28" t="str">
        <x:v>Отправить пустой/неподдерживаемый тип сообщения или эквивалентный некорректный ввод.</x:v>
      </x:c>
      <x:c r="G9" s="28" t="str">
        <x:v>Система не падает; пользователь получает корректное сообщение или ввод безопасно игнорируется.</x:v>
      </x:c>
      <x:c r="H9" s="28" t="str">
        <x:v>Частично</x:v>
      </x:c>
      <x:c r="I9" s="28" t="str">
        <x:v>NOT_RUN</x:v>
      </x:c>
      <x:c r="J9" s="28" t="str"/>
    </x:row>
    <x:row r="10">
      <x:c r="A10" s="28" t="str">
        <x:v>SMK-009</x:v>
      </x:c>
      <x:c r="B10" s="28" t="str">
        <x:v>Error handling</x:v>
      </x:c>
      <x:c r="C10" s="28" t="str">
        <x:v>P0</x:v>
      </x:c>
      <x:c r="D10" s="28" t="str">
        <x:v>Ошибка RAG/LLM не валит бота</x:v>
      </x:c>
      <x:c r="E10" s="28" t="str">
        <x:v>Есть способ временно смоделировать исключение/недоступность зависимости</x:v>
      </x:c>
      <x:c r="F10" s="28" t="str">
        <x:v>Спровоцировать ошибку внутри rag.answer() или зависимого компонента.</x:v>
      </x:c>
      <x:c r="G10" s="28" t="str">
        <x:v>Ошибка перехватывается; бот продолжает работать и возвращает понятное fallback-сообщение.</x:v>
      </x:c>
      <x:c r="H10" s="28" t="str">
        <x:v>Да</x:v>
      </x:c>
      <x:c r="I10" s="28" t="str">
        <x:v>NOT_RUN</x:v>
      </x:c>
      <x:c r="J10" s="28" t="str"/>
    </x:row>
    <x:row r="11">
      <x:c r="A11" s="28" t="str">
        <x:v>SMK-010</x:v>
      </x:c>
      <x:c r="B11" s="28" t="str">
        <x:v>Regression seed</x:v>
      </x:c>
      <x:c r="C11" s="28" t="str">
        <x:v>P1</x:v>
      </x:c>
      <x:c r="D11" s="28" t="str">
        <x:v>Мини-прогон 5 gold-вопросов</x:v>
      </x:c>
      <x:c r="E11" s="28" t="str">
        <x:v>Основной сценарий работает</x:v>
      </x:c>
      <x:c r="F11" s="28" t="str">
        <x:v>Прогнать RUL-001, RUL-004, MEC-006, CAR-001, FAQ-001.</x:v>
      </x:c>
      <x:c r="G11" s="28" t="str">
        <x:v>Все 5 запросов проходят end-to-end; результаты и источники сохранены для ручной проверки.</x:v>
      </x:c>
      <x:c r="H11" s="28" t="str">
        <x:v>Да</x:v>
      </x:c>
      <x:c r="I11" s="28" t="str">
        <x:v>NOT_RUN</x:v>
      </x:c>
      <x:c r="J11" s="28" t="str"/>
    </x:row>
  </x:sheetData>
  <x:dataValidations count="2">
    <x:dataValidation type="list" sqref="C2:C11">
      <x:formula1>"P0,P1,P2"</x:formula1>
    </x:dataValidation>
    <x:dataValidation type="list" sqref="I2:I11">
      <x:formula1>"NOT_RUN,PASS,FAIL,BLOCKED"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c06785eea54d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20" hidden="0" customWidth="1"/>
    <x:col min="5" max="5" width="58" hidden="0" customWidth="1"/>
  </x:cols>
  <x:sheetData>
    <x:row r="1">
      <x:c r="A1" s="34" t="str">
        <x:v>criterion_id</x:v>
      </x:c>
      <x:c r="B1" s="34" t="str">
        <x:v>criterion</x:v>
      </x:c>
      <x:c r="C1" s="34" t="str">
        <x:v>description</x:v>
      </x:c>
      <x:c r="D1" s="34" t="str">
        <x:v>recommended_weight</x:v>
      </x:c>
      <x:c r="E1" s="34" t="str">
        <x:v>pass_rule</x:v>
      </x:c>
    </x:row>
    <x:row r="2">
      <x:c r="A2" s="28" t="str">
        <x:v>EV-01</x:v>
      </x:c>
      <x:c r="B2" s="28" t="str">
        <x:v>Factual correctness</x:v>
      </x:c>
      <x:c r="C2" s="28" t="str">
        <x:v>Ответ не противоречит официальному gold-ответу и содержит обязательные факты.</x:v>
      </x:c>
      <x:c r="D2" s="35" t="n">
        <x:v>0.35</x:v>
      </x:c>
      <x:c r="E2" s="28" t="str">
        <x:v>Все critical expected_facts присутствуют и корректны.</x:v>
      </x:c>
    </x:row>
    <x:row r="3">
      <x:c r="A3" s="28" t="str">
        <x:v>EV-02</x:v>
      </x:c>
      <x:c r="B3" s="28" t="str">
        <x:v>Faithfulness</x:v>
      </x:c>
      <x:c r="C3" s="28" t="str">
        <x:v>В ответе нет утверждений, не поддержанных найденными источниками.</x:v>
      </x:c>
      <x:c r="D3" s="35" t="n">
        <x:v>0.25</x:v>
      </x:c>
      <x:c r="E3" s="28" t="str">
        <x:v>Нет значимых unsupported claims / hallucinations.</x:v>
      </x:c>
    </x:row>
    <x:row r="4">
      <x:c r="A4" s="28" t="str">
        <x:v>EV-03</x:v>
      </x:c>
      <x:c r="B4" s="28" t="str">
        <x:v>Citation correctness</x:v>
      </x:c>
      <x:c r="C4" s="28" t="str">
        <x:v>Ссылка/источник действительно подтверждает соответствующий тезис.</x:v>
      </x:c>
      <x:c r="D4" s="35" t="n">
        <x:v>0.2</x:v>
      </x:c>
      <x:c r="E4" s="28" t="str">
        <x:v>Есть ожидаемый источник или равно-/более авторитетный официальный источник.</x:v>
      </x:c>
    </x:row>
    <x:row r="5">
      <x:c r="A5" s="28" t="str">
        <x:v>EV-04</x:v>
      </x:c>
      <x:c r="B5" s="28" t="str">
        <x:v>Answer relevance</x:v>
      </x:c>
      <x:c r="C5" s="28" t="str">
        <x:v>Ответ прямо отвечает на вопрос без ухода в нерелевантный контекст.</x:v>
      </x:c>
      <x:c r="D5" s="35" t="n">
        <x:v>0.1</x:v>
      </x:c>
      <x:c r="E5" s="28" t="str">
        <x:v>Ключевой вопрос закрыт.</x:v>
      </x:c>
    </x:row>
    <x:row r="6">
      <x:c r="A6" s="28" t="str">
        <x:v>EV-05</x:v>
      </x:c>
      <x:c r="B6" s="28" t="str">
        <x:v>Abstention quality</x:v>
      </x:c>
      <x:c r="C6" s="28" t="str">
        <x:v>Для unanswerable тестов система не придумывает факты.</x:v>
      </x:c>
      <x:c r="D6" s="35" t="n">
        <x:v>0.1</x:v>
      </x:c>
      <x:c r="E6" s="28" t="str">
        <x:v>Явно обозначает отсутствие данных/границу KB.</x:v>
      </x:c>
    </x:row>
    <x:row r="7">
      <x:c r="A7" s="28"/>
      <x:c r="B7" s="28"/>
      <x:c r="C7" s="28"/>
      <x:c r="D7" s="28"/>
      <x:c r="E7" s="28"/>
    </x:row>
    <x:row r="8">
      <x:c r="A8" s="34" t="str">
        <x:v>judge_result</x:v>
      </x:c>
      <x:c r="B8" s="34" t="str">
        <x:v>meaning</x:v>
      </x:c>
      <x:c r="C8" s="28"/>
      <x:c r="D8" s="34" t="str">
        <x:v>Source precedence</x:v>
      </x:c>
      <x:c r="E8" s="34" t="str">
        <x:v>Policy</x:v>
      </x:c>
    </x:row>
    <x:row r="9">
      <x:c r="A9" s="28" t="str">
        <x:v>PASS</x:v>
      </x:c>
      <x:c r="B9" s="28" t="str">
        <x:v>Все обязательные условия выполнены; нет существенных ошибок.</x:v>
      </x:c>
      <x:c r="C9" s="28"/>
      <x:c r="D9" s="28" t="str">
        <x:v>1</x:v>
      </x:c>
      <x:c r="E9" s="28" t="str">
        <x:v>Актуальная официальная эррата / FAQ конкретной карты / полный официальный ruling по конкретной ситуации.</x:v>
      </x:c>
    </x:row>
    <x:row r="10">
      <x:c r="A10" s="28" t="str">
        <x:v>PARTIAL</x:v>
      </x:c>
      <x:c r="B10" s="28" t="str">
        <x:v>Основной ответ верен, но пропущен неключевой факт / слабая ссылка / лишний неподтверждённый нюанс.</x:v>
      </x:c>
      <x:c r="C10" s="28"/>
      <x:c r="D10" s="28" t="str">
        <x:v>2</x:v>
      </x:c>
      <x:c r="E10" s="28" t="str">
        <x:v>Актуальные официальные правила и глоссарий.</x:v>
      </x:c>
    </x:row>
    <x:row r="11">
      <x:c r="A11" s="28" t="str">
        <x:v>FAIL</x:v>
      </x:c>
      <x:c r="B11" s="28" t="str">
        <x:v>Есть фактическая ошибка, критический пропуск, неверный источник или галлюцинация.</x:v>
      </x:c>
      <x:c r="C11" s="28"/>
      <x:c r="D11" s="28" t="str">
        <x:v>3</x:v>
      </x:c>
      <x:c r="E11" s="28" t="str">
        <x:v>Официальная база карт (характеристики и напечатанный текст).</x:v>
      </x:c>
    </x:row>
    <x:row r="12">
      <x:c r="A12" s="28" t="str">
        <x:v>NOT_RUN</x:v>
      </x:c>
      <x:c r="B12" s="28" t="str">
        <x:v>Тест ещё не выполнялся.</x:v>
      </x:c>
      <x:c r="C12" s="28"/>
      <x:c r="D12" s="28" t="str">
        <x:v>4</x:v>
      </x:c>
      <x:c r="E12" s="28" t="str">
        <x:v>Официальная турнирная страница для форматов/ограничений; учитывать дату снимка.</x:v>
      </x:c>
    </x:row>
    <x:row r="13">
      <x:c r="A13" s="28"/>
      <x:c r="B13" s="28"/>
      <x:c r="C13" s="28"/>
      <x:c r="D13" s="28" t="str">
        <x:v>5</x:v>
      </x:c>
      <x:c r="E13" s="28" t="str">
        <x:v>Официальные соцсети издателя/проекта — для анонсов и актуального контекста, но не вместо правил.</x:v>
      </x:c>
    </x:row>
    <x:row r="14">
      <x:c r="A14" s="28"/>
      <x:c r="B14" s="28"/>
      <x:c r="C14" s="28"/>
      <x:c r="D14" s="28"/>
      <x:c r="E14" s="28"/>
    </x:row>
    <x:row r="15">
      <x:c r="A15" s="28"/>
      <x:c r="B15" s="28"/>
      <x:c r="C15" s="28"/>
      <x:c r="D15" s="28"/>
      <x:c r="E15" s="28"/>
    </x:row>
    <x:row r="16">
      <x:c r="A16" s="28"/>
      <x:c r="B16" s="28"/>
      <x:c r="C16" s="28"/>
      <x:c r="D16" s="28"/>
      <x:c r="E16" s="28"/>
    </x:row>
    <x:row r="17">
      <x:c r="A17" s="28"/>
      <x:c r="B17" s="28"/>
      <x:c r="C17" s="28"/>
      <x:c r="D17" s="28"/>
      <x:c r="E17" s="28"/>
    </x:row>
    <x:row r="18">
      <x:c r="A18" s="28"/>
      <x:c r="B18" s="28"/>
      <x:c r="C18" s="28"/>
      <x:c r="D18" s="28"/>
      <x:c r="E18" s="28"/>
    </x:row>
    <x:row r="19">
      <x:c r="A19" s="28"/>
      <x:c r="B19" s="28"/>
      <x:c r="C19" s="28"/>
      <x:c r="D19" s="28"/>
      <x:c r="E19" s="28"/>
    </x:row>
    <x:row r="20">
      <x:c r="A20" s="28"/>
      <x:c r="B20" s="28"/>
      <x:c r="C20" s="28"/>
      <x:c r="D20" s="28"/>
      <x:c r="E2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0" hidden="0" customWidth="1"/>
    <x:col min="5" max="5" width="44" hidden="0" customWidth="1"/>
    <x:col min="6" max="6" width="52" hidden="0" customWidth="1"/>
    <x:col min="7" max="7" width="52" hidden="0" customWidth="1"/>
    <x:col min="8" max="8" width="42" hidden="0" customWidth="1"/>
    <x:col min="9" max="9" width="16" hidden="0" customWidth="1"/>
    <x:col min="10" max="10" width="22" hidden="0" customWidth="1"/>
    <x:col min="11" max="11" width="22" hidden="0" customWidth="1"/>
    <x:col min="12" max="12" width="52" hidden="0" customWidth="1"/>
    <x:col min="13" max="13" width="12" hidden="0" customWidth="1"/>
    <x:col min="14" max="14" width="38" hidden="0" customWidth="1"/>
  </x:cols>
  <x:sheetData>
    <x:row r="1">
      <x:c r="A1" s="12" t="str">
        <x:v>Test ID</x:v>
      </x:c>
      <x:c r="B1" s="12" t="str">
        <x:v>Category</x:v>
      </x:c>
      <x:c r="C1" s="12" t="str">
        <x:v>Difficulty</x:v>
      </x:c>
      <x:c r="D1" s="12" t="str">
        <x:v>Priority</x:v>
      </x:c>
      <x:c r="E1" s="12" t="str">
        <x:v>Question</x:v>
      </x:c>
      <x:c r="F1" s="12" t="str">
        <x:v>Expected answer</x:v>
      </x:c>
      <x:c r="G1" s="12" t="str">
        <x:v>Expected facts</x:v>
      </x:c>
      <x:c r="H1" s="12" t="str">
        <x:v>Must NOT claim</x:v>
      </x:c>
      <x:c r="I1" s="12" t="str">
        <x:v>Answerability</x:v>
      </x:c>
      <x:c r="J1" s="12" t="str">
        <x:v>Intent</x:v>
      </x:c>
      <x:c r="K1" s="12" t="str">
        <x:v>Expected source IDs</x:v>
      </x:c>
      <x:c r="L1" s="12" t="str">
        <x:v>Source URL(s)</x:v>
      </x:c>
      <x:c r="M1" s="12" t="str">
        <x:v>Temporal</x:v>
      </x:c>
      <x:c r="N1" s="12" t="str">
        <x:v>Notes</x:v>
      </x:c>
    </x:row>
    <x:row r="2">
      <x:c r="A2" s="28" t="str">
        <x:v>RUL-001</x:v>
      </x:c>
      <x:c r="B2" s="28" t="str">
        <x:v>Rules_Basic</x:v>
      </x:c>
      <x:c r="C2" s="28" t="str">
        <x:v>easy</x:v>
      </x:c>
      <x:c r="D2" s="28" t="str">
        <x:v>P1</x:v>
      </x:c>
      <x:c r="E2" s="28" t="str">
        <x:v>Как победить в партии ККИ «Берсерк»?</x:v>
      </x:c>
      <x:c r="F2" s="28" t="str">
        <x:v>Побеждает игрок, который уничтожит всех существ противника.</x:v>
      </x:c>
      <x:c r="G2" s="28" t="str">
        <x:v>Условие победы — уничтожить всех существ противника.</x:v>
      </x:c>
      <x:c r="H2" s="28" t="str"/>
      <x:c r="I2" s="28" t="str">
        <x:v>answerable</x:v>
      </x:c>
      <x:c r="J2" s="28" t="str">
        <x:v>rules_query</x:v>
      </x:c>
      <x:c r="K2" s="28" t="str">
        <x:v>SRC-001</x:v>
      </x:c>
      <x:c r="L2" s="28" t="str">
        <x:v>https://berserk.ru/pravila-igri</x:v>
      </x:c>
      <x:c r="M2" s="28" t="str">
        <x:v>Нет</x:v>
      </x:c>
      <x:c r="N2" s="28" t="str"/>
    </x:row>
    <x:row r="3">
      <x:c r="A3" s="28" t="str">
        <x:v>RUL-002</x:v>
      </x:c>
      <x:c r="B3" s="28" t="str">
        <x:v>Rules_Basic</x:v>
      </x:c>
      <x:c r="C3" s="28" t="str">
        <x:v>easy</x:v>
      </x:c>
      <x:c r="D3" s="28" t="str">
        <x:v>P1</x:v>
      </x:c>
      <x:c r="E3" s="28" t="str">
        <x:v>Сколько карт должно быть в колоде и сколько одинаковых карт можно положить?</x:v>
      </x:c>
      <x:c r="F3" s="28" t="str">
        <x:v>В колоде должно быть от 30 до 50 карт; обычно не более 3 карт с одинаковым названием.</x:v>
      </x:c>
      <x:c r="G3" s="28" t="str">
        <x:v>Размер колоды: 30–50; максимум 3 одинаковые карты.</x:v>
      </x:c>
      <x:c r="H3" s="28" t="str">
        <x:v>Не утверждать, что колода обязана содержать ровно 30 или ровно 50 карт.</x:v>
      </x:c>
      <x:c r="I3" s="28" t="str">
        <x:v>answerable</x:v>
      </x:c>
      <x:c r="J3" s="28" t="str">
        <x:v>rules_query</x:v>
      </x:c>
      <x:c r="K3" s="28" t="str">
        <x:v>SRC-001</x:v>
      </x:c>
      <x:c r="L3" s="28" t="str">
        <x:v>https://berserk.ru/pravila-igri</x:v>
      </x:c>
      <x:c r="M3" s="28" t="str">
        <x:v>Нет</x:v>
      </x:c>
      <x:c r="N3" s="28" t="str"/>
    </x:row>
    <x:row r="4">
      <x:c r="A4" s="28" t="str">
        <x:v>RUL-003</x:v>
      </x:c>
      <x:c r="B4" s="28" t="str">
        <x:v>Rules_Basic</x:v>
      </x:c>
      <x:c r="C4" s="28" t="str">
        <x:v>easy</x:v>
      </x:c>
      <x:c r="D4" s="28" t="str">
        <x:v>P1</x:v>
      </x:c>
      <x:c r="E4" s="28" t="str">
        <x:v>Как определяется, кто будет ходить первым?</x:v>
      </x:c>
      <x:c r="F4" s="28" t="str">
        <x:v>Игроки бросают кубик; игрок с большим результатом выбирает, будет он первым или вторым.</x:v>
      </x:c>
      <x:c r="G4" s="28" t="str">
        <x:v>Бросок кубика; больший результат даёт право выбора первого/второго игрока.</x:v>
      </x:c>
      <x:c r="H4" s="28" t="str"/>
      <x:c r="I4" s="28" t="str">
        <x:v>answerable</x:v>
      </x:c>
      <x:c r="J4" s="28" t="str">
        <x:v>rules_query</x:v>
      </x:c>
      <x:c r="K4" s="28" t="str">
        <x:v>SRC-001</x:v>
      </x:c>
      <x:c r="L4" s="28" t="str">
        <x:v>https://berserk.ru/pravila-igri</x:v>
      </x:c>
      <x:c r="M4" s="28" t="str">
        <x:v>Нет</x:v>
      </x:c>
      <x:c r="N4" s="28" t="str"/>
    </x:row>
    <x:row r="5">
      <x:c r="A5" s="28" t="str">
        <x:v>RUL-004</x:v>
      </x:c>
      <x:c r="B5" s="28" t="str">
        <x:v>Rules_Basic</x:v>
      </x:c>
      <x:c r="C5" s="28" t="str">
        <x:v>medium</x:v>
      </x:c>
      <x:c r="D5" s="28" t="str">
        <x:v>P1</x:v>
      </x:c>
      <x:c r="E5" s="28" t="str">
        <x:v>Сколько золотых и серебряных кристаллов получают Первый и Второй игрок при формировании отряда?</x:v>
      </x:c>
      <x:c r="F5" s="28" t="str">
        <x:v>Первый игрок получает 24 золотых и 22 серебряных; Второй — 25 золотых и 23 серебряных.</x:v>
      </x:c>
      <x:c r="G5" s="28" t="str">
        <x:v>Первый: 24 золота + 22 серебра; Второй: 25 золота + 23 серебра.</x:v>
      </x:c>
      <x:c r="H5" s="28" t="str"/>
      <x:c r="I5" s="28" t="str">
        <x:v>answerable</x:v>
      </x:c>
      <x:c r="J5" s="28" t="str">
        <x:v>rules_query</x:v>
      </x:c>
      <x:c r="K5" s="28" t="str">
        <x:v>SRC-001</x:v>
      </x:c>
      <x:c r="L5" s="28" t="str">
        <x:v>https://berserk.ru/pravila-igri</x:v>
      </x:c>
      <x:c r="M5" s="28" t="str">
        <x:v>Нет</x:v>
      </x:c>
      <x:c r="N5" s="28" t="str"/>
    </x:row>
    <x:row r="6">
      <x:c r="A6" s="28" t="str">
        <x:v>RUL-005</x:v>
      </x:c>
      <x:c r="B6" s="28" t="str">
        <x:v>Rules_Basic</x:v>
      </x:c>
      <x:c r="C6" s="28" t="str">
        <x:v>medium</x:v>
      </x:c>
      <x:c r="D6" s="28" t="str">
        <x:v>P1</x:v>
      </x:c>
      <x:c r="E6" s="28" t="str">
        <x:v>Сколько карт игрок берёт в раздачу и как работает пересдача?</x:v>
      </x:c>
      <x:c r="F6" s="28" t="str">
        <x:v>Игрок берёт 15 карт. Если раздача не устраивает, он может замешать её обратно и снова взять 15; каждая пересдача стоит 1 золотой кристалл.</x:v>
      </x:c>
      <x:c r="G6" s="28" t="str">
        <x:v>Раздача: 15 карт; пересдача всей раздачи; стоимость пересдачи — 1 золотой кристалл.</x:v>
      </x:c>
      <x:c r="H6" s="28" t="str"/>
      <x:c r="I6" s="28" t="str">
        <x:v>answerable</x:v>
      </x:c>
      <x:c r="J6" s="28" t="str">
        <x:v>rules_query</x:v>
      </x:c>
      <x:c r="K6" s="28" t="str">
        <x:v>SRC-001</x:v>
      </x:c>
      <x:c r="L6" s="28" t="str">
        <x:v>https://berserk.ru/pravila-igri</x:v>
      </x:c>
      <x:c r="M6" s="28" t="str">
        <x:v>Нет</x:v>
      </x:c>
      <x:c r="N6" s="28" t="str"/>
    </x:row>
    <x:row r="7">
      <x:c r="A7" s="28" t="str">
        <x:v>RUL-006</x:v>
      </x:c>
      <x:c r="B7" s="28" t="str">
        <x:v>Rules_Basic</x:v>
      </x:c>
      <x:c r="C7" s="28" t="str">
        <x:v>medium</x:v>
      </x:c>
      <x:c r="D7" s="28" t="str">
        <x:v>P1</x:v>
      </x:c>
      <x:c r="E7" s="28" t="str">
        <x:v>Есть ли ограничение на стоимость летающих существ при наборе отряда?</x:v>
      </x:c>
      <x:c r="F7" s="28" t="str">
        <x:v>Да. При наборе отряда нельзя суммарно потратить на летающих существ больше 15 кристаллов.</x:v>
      </x:c>
      <x:c r="G7" s="28" t="str">
        <x:v>Суммарный лимит на летающих существ — 15 кристаллов.</x:v>
      </x:c>
      <x:c r="H7" s="28" t="str"/>
      <x:c r="I7" s="28" t="str">
        <x:v>answerable</x:v>
      </x:c>
      <x:c r="J7" s="28" t="str">
        <x:v>rules_query</x:v>
      </x:c>
      <x:c r="K7" s="28" t="str">
        <x:v>SRC-001</x:v>
      </x:c>
      <x:c r="L7" s="28" t="str">
        <x:v>https://berserk.ru/pravila-igri</x:v>
      </x:c>
      <x:c r="M7" s="28" t="str">
        <x:v>Нет</x:v>
      </x:c>
      <x:c r="N7" s="28" t="str"/>
    </x:row>
    <x:row r="8">
      <x:c r="A8" s="28" t="str">
        <x:v>RUL-007</x:v>
      </x:c>
      <x:c r="B8" s="28" t="str">
        <x:v>Rules_Basic</x:v>
      </x:c>
      <x:c r="C8" s="28" t="str">
        <x:v>medium</x:v>
      </x:c>
      <x:c r="D8" s="28" t="str">
        <x:v>P1</x:v>
      </x:c>
      <x:c r="E8" s="28" t="str">
        <x:v>Какой штраф получает игрок за несколько стихий в отряде?</x:v>
      </x:c>
      <x:c r="F8" s="28" t="str">
        <x:v>За каждую дополнительную стихию сверх первой игрок получает штраф в 1 золотой кристалл; нейтральные карты стихией не считаются.</x:v>
      </x:c>
      <x:c r="G8" s="28" t="str">
        <x:v>Каждая дополнительная стихия: −1 золотой кристалл; нейтральные карты не имеют стихии.</x:v>
      </x:c>
      <x:c r="H8" s="28" t="str"/>
      <x:c r="I8" s="28" t="str">
        <x:v>answerable</x:v>
      </x:c>
      <x:c r="J8" s="28" t="str">
        <x:v>rules_query</x:v>
      </x:c>
      <x:c r="K8" s="28" t="str">
        <x:v>SRC-001</x:v>
      </x:c>
      <x:c r="L8" s="28" t="str">
        <x:v>https://berserk.ru/pravila-igri</x:v>
      </x:c>
      <x:c r="M8" s="28" t="str">
        <x:v>Нет</x:v>
      </x:c>
      <x:c r="N8" s="28" t="str"/>
    </x:row>
    <x:row r="9">
      <x:c r="A9" s="28" t="str">
        <x:v>RUL-008</x:v>
      </x:c>
      <x:c r="B9" s="28" t="str">
        <x:v>Rules_Basic</x:v>
      </x:c>
      <x:c r="C9" s="28" t="str">
        <x:v>easy</x:v>
      </x:c>
      <x:c r="D9" s="28" t="str">
        <x:v>P1</x:v>
      </x:c>
      <x:c r="E9" s="28" t="str">
        <x:v>Какого размера поле боя в «Берсерке»?</x:v>
      </x:c>
      <x:c r="F9" s="28" t="str">
        <x:v>Поле боя — 6 рядов по 5 клеток, то есть 30 клеток.</x:v>
      </x:c>
      <x:c r="G9" s="28" t="str">
        <x:v>6 рядов × 5 клеток.</x:v>
      </x:c>
      <x:c r="H9" s="28" t="str"/>
      <x:c r="I9" s="28" t="str">
        <x:v>answerable</x:v>
      </x:c>
      <x:c r="J9" s="28" t="str">
        <x:v>rules_query</x:v>
      </x:c>
      <x:c r="K9" s="28" t="str">
        <x:v>SRC-001</x:v>
      </x:c>
      <x:c r="L9" s="28" t="str">
        <x:v>https://berserk.ru/pravila-igri</x:v>
      </x:c>
      <x:c r="M9" s="28" t="str">
        <x:v>Нет</x:v>
      </x:c>
      <x:c r="N9" s="28" t="str"/>
    </x:row>
    <x:row r="10">
      <x:c r="A10" s="28" t="str">
        <x:v>RUL-009</x:v>
      </x:c>
      <x:c r="B10" s="28" t="str">
        <x:v>Rules_Basic</x:v>
      </x:c>
      <x:c r="C10" s="28" t="str">
        <x:v>hard</x:v>
      </x:c>
      <x:c r="D10" s="28" t="str">
        <x:v>P1</x:v>
      </x:c>
      <x:c r="E10" s="28" t="str">
        <x:v>Куда Первый игрок может ставить карты при первоначальной расстановке?</x:v>
      </x:c>
      <x:c r="F10" s="28" t="str">
        <x:v>Сначала Первый игрок использует центральную зону своей половины поля 3×3. После её заполнения может занимать оставшиеся клетки второго и третьего рядов; свободные клетки первого ряда — в последнюю очередь.</x:v>
      </x:c>
      <x:c r="G10" s="28" t="str">
        <x:v>Стартовая зона Первого: центральные 3×3; затем оставшиеся клетки 2–3 рядов; первый ряд — последним.</x:v>
      </x:c>
      <x:c r="H10" s="28" t="str"/>
      <x:c r="I10" s="28" t="str">
        <x:v>answerable</x:v>
      </x:c>
      <x:c r="J10" s="28" t="str">
        <x:v>rules_query</x:v>
      </x:c>
      <x:c r="K10" s="28" t="str">
        <x:v>SRC-001</x:v>
      </x:c>
      <x:c r="L10" s="28" t="str">
        <x:v>https://berserk.ru/pravila-igri</x:v>
      </x:c>
      <x:c r="M10" s="28" t="str">
        <x:v>Нет</x:v>
      </x:c>
      <x:c r="N10" s="28" t="str"/>
    </x:row>
    <x:row r="11">
      <x:c r="A11" s="28" t="str">
        <x:v>RUL-010</x:v>
      </x:c>
      <x:c r="B11" s="28" t="str">
        <x:v>Rules_Basic</x:v>
      </x:c>
      <x:c r="C11" s="28" t="str">
        <x:v>hard</x:v>
      </x:c>
      <x:c r="D11" s="28" t="str">
        <x:v>P1</x:v>
      </x:c>
      <x:c r="E11" s="28" t="str">
        <x:v>Какие клетки доступны Второму игроку при первоначальной расстановке?</x:v>
      </x:c>
      <x:c r="F11" s="28" t="str">
        <x:v>Второй игрок может использовать все 5 клеток своего первого ряда и центральные клетки второго и третьего рядов; после их заполнения — остальные свободные клетки второго и третьего рядов.</x:v>
      </x:c>
      <x:c r="G11" s="28" t="str">
        <x:v>Второй: весь 1-й ряд + центральные клетки 2–3 рядов; затем остальные клетки 2–3 рядов.</x:v>
      </x:c>
      <x:c r="H11" s="28" t="str"/>
      <x:c r="I11" s="28" t="str">
        <x:v>answerable</x:v>
      </x:c>
      <x:c r="J11" s="28" t="str">
        <x:v>rules_query</x:v>
      </x:c>
      <x:c r="K11" s="28" t="str">
        <x:v>SRC-001</x:v>
      </x:c>
      <x:c r="L11" s="28" t="str">
        <x:v>https://berserk.ru/pravila-igri</x:v>
      </x:c>
      <x:c r="M11" s="28" t="str">
        <x:v>Нет</x:v>
      </x:c>
      <x:c r="N11" s="28" t="str"/>
    </x:row>
    <x:row r="12">
      <x:c r="A12" s="28" t="str">
        <x:v>RUL-011</x:v>
      </x:c>
      <x:c r="B12" s="28" t="str">
        <x:v>Rules_Basic</x:v>
      </x:c>
      <x:c r="C12" s="28" t="str">
        <x:v>medium</x:v>
      </x:c>
      <x:c r="D12" s="28" t="str">
        <x:v>P1</x:v>
      </x:c>
      <x:c r="E12" s="28" t="str">
        <x:v>Когда Второй игрок обязан вскрыть карты своего третьего ряда?</x:v>
      </x:c>
      <x:c r="F12" s="28" t="str">
        <x:v>Он может оставить их закрытыми до начала своего первого хода; в начале этого хода вскрывает все карты третьего ряда. Скрытая карта также вскрывается раньше, если действует или становится целью по правилам.</x:v>
      </x:c>
      <x:c r="G12" s="28" t="str">
        <x:v>Третий ряд Второго можно не вскрывать до начала его хода; затем он вскрывается.</x:v>
      </x:c>
      <x:c r="H12" s="28" t="str"/>
      <x:c r="I12" s="28" t="str">
        <x:v>answerable</x:v>
      </x:c>
      <x:c r="J12" s="28" t="str">
        <x:v>rules_query</x:v>
      </x:c>
      <x:c r="K12" s="28" t="str">
        <x:v>SRC-001</x:v>
      </x:c>
      <x:c r="L12" s="28" t="str">
        <x:v>https://berserk.ru/pravila-igri</x:v>
      </x:c>
      <x:c r="M12" s="28" t="str">
        <x:v>Нет</x:v>
      </x:c>
      <x:c r="N12" s="28" t="str"/>
    </x:row>
    <x:row r="13">
      <x:c r="A13" s="28" t="str">
        <x:v>RUL-012</x:v>
      </x:c>
      <x:c r="B13" s="28" t="str">
        <x:v>Rules_Basic</x:v>
      </x:c>
      <x:c r="C13" s="28" t="str">
        <x:v>easy</x:v>
      </x:c>
      <x:c r="D13" s="28" t="str">
        <x:v>P1</x:v>
      </x:c>
      <x:c r="E13" s="28" t="str">
        <x:v>Можно ли двигаться по диагонали или меняться местами с другой картой?</x:v>
      </x:c>
      <x:c r="F13" s="28" t="str">
        <x:v>Нет. Движение выполняется вперёд, назад, вправо или влево только на свободную клетку; по диагонали двигаться и меняться местами нельзя.</x:v>
      </x:c>
      <x:c r="G13" s="28" t="str">
        <x:v>Только ортогональное движение; только на свободную клетку; диагональ и обмен местами запрещены.</x:v>
      </x:c>
      <x:c r="H13" s="28" t="str"/>
      <x:c r="I13" s="28" t="str">
        <x:v>answerable</x:v>
      </x:c>
      <x:c r="J13" s="28" t="str">
        <x:v>rules_query</x:v>
      </x:c>
      <x:c r="K13" s="28" t="str">
        <x:v>SRC-001</x:v>
      </x:c>
      <x:c r="L13" s="28" t="str">
        <x:v>https://berserk.ru/pravila-igri</x:v>
      </x:c>
      <x:c r="M13" s="28" t="str">
        <x:v>Нет</x:v>
      </x:c>
      <x:c r="N13" s="28" t="str"/>
    </x:row>
    <x:row r="14">
      <x:c r="A14" s="28" t="str">
        <x:v>RUL-013</x:v>
      </x:c>
      <x:c r="B14" s="28" t="str">
        <x:v>Rules_Basic</x:v>
      </x:c>
      <x:c r="C14" s="28" t="str">
        <x:v>medium</x:v>
      </x:c>
      <x:c r="D14" s="28" t="str">
        <x:v>P1</x:v>
      </x:c>
      <x:c r="E14" s="28" t="str">
        <x:v>Какие базовые действия может совершить открытое существо?</x:v>
      </x:c>
      <x:c r="F14" s="28" t="str">
        <x:v>Оно может атаковать простым ударом, выступить защитником от простого удара в ход противника, использовать соответствующую особенность за действие или получить фишку при наличии такой особенности.</x:v>
      </x:c>
      <x:c r="G14" s="28" t="str">
        <x:v>Простой удар; защита в ход противника; активная особенность; получение фишки при наличии соответствующего текста.</x:v>
      </x:c>
      <x:c r="H14" s="28" t="str"/>
      <x:c r="I14" s="28" t="str">
        <x:v>answerable</x:v>
      </x:c>
      <x:c r="J14" s="28" t="str">
        <x:v>rules_query</x:v>
      </x:c>
      <x:c r="K14" s="28" t="str">
        <x:v>SRC-001</x:v>
      </x:c>
      <x:c r="L14" s="28" t="str">
        <x:v>https://berserk.ru/pravila-igri</x:v>
      </x:c>
      <x:c r="M14" s="28" t="str">
        <x:v>Нет</x:v>
      </x:c>
      <x:c r="N14" s="28" t="str"/>
    </x:row>
    <x:row r="15">
      <x:c r="A15" s="28" t="str">
        <x:v>RUL-014</x:v>
      </x:c>
      <x:c r="B15" s="28" t="str">
        <x:v>Rules_Basic</x:v>
      </x:c>
      <x:c r="C15" s="28" t="str">
        <x:v>easy</x:v>
      </x:c>
      <x:c r="D15" s="28" t="str">
        <x:v>P1</x:v>
      </x:c>
      <x:c r="E15" s="28" t="str">
        <x:v>Что происходит с картой после совершения действия и что может закрытая карта?</x:v>
      </x:c>
      <x:c r="F15" s="28" t="str">
        <x:v>После действия карта закрывается и теряет возможность двигаться; закрытые карты не могут двигаться или действовать. Обычно они открываются в начале своего хода.</x:v>
      </x:c>
      <x:c r="G15" s="28" t="str">
        <x:v>После действия карта закрывается; закрытая карта не двигается и не действует; открывается в начале своего хода.</x:v>
      </x:c>
      <x:c r="H15" s="28" t="str"/>
      <x:c r="I15" s="28" t="str">
        <x:v>answerable</x:v>
      </x:c>
      <x:c r="J15" s="28" t="str">
        <x:v>rules_query</x:v>
      </x:c>
      <x:c r="K15" s="28" t="str">
        <x:v>SRC-001</x:v>
      </x:c>
      <x:c r="L15" s="28" t="str">
        <x:v>https://berserk.ru/pravila-igri</x:v>
      </x:c>
      <x:c r="M15" s="28" t="str">
        <x:v>Нет</x:v>
      </x:c>
      <x:c r="N15" s="28" t="str"/>
    </x:row>
    <x:row r="16">
      <x:c r="A16" s="28" t="str">
        <x:v>RUL-015</x:v>
      </x:c>
      <x:c r="B16" s="28" t="str">
        <x:v>Rules_Basic</x:v>
      </x:c>
      <x:c r="C16" s="28" t="str">
        <x:v>easy</x:v>
      </x:c>
      <x:c r="D16" s="28" t="str">
        <x:v>P1</x:v>
      </x:c>
      <x:c r="E16" s="28" t="str">
        <x:v>По каким картам можно объявить простой удар?</x:v>
      </x:c>
      <x:c r="F16" s="28" t="str">
        <x:v>Простым ударом можно атаковать только стоящую рядом карту, включая расположенную по диагонали.</x:v>
      </x:c>
      <x:c r="G16" s="28" t="str">
        <x:v>Цель простого удара должна стоять рядом; диагональная соседняя клетка считается рядом.</x:v>
      </x:c>
      <x:c r="H16" s="28" t="str"/>
      <x:c r="I16" s="28" t="str">
        <x:v>answerable</x:v>
      </x:c>
      <x:c r="J16" s="28" t="str">
        <x:v>rules_query</x:v>
      </x:c>
      <x:c r="K16" s="28" t="str">
        <x:v>SRC-001</x:v>
      </x:c>
      <x:c r="L16" s="28" t="str">
        <x:v>https://berserk.ru/pravila-igri</x:v>
      </x:c>
      <x:c r="M16" s="28" t="str">
        <x:v>Нет</x:v>
      </x:c>
      <x:c r="N16" s="28" t="str"/>
    </x:row>
    <x:row r="17">
      <x:c r="A17" s="28" t="str">
        <x:v>MEC-001</x:v>
      </x:c>
      <x:c r="B17" s="28" t="str">
        <x:v>Mechanics_Glossary</x:v>
      </x:c>
      <x:c r="C17" s="28" t="str">
        <x:v>medium</x:v>
      </x:c>
      <x:c r="D17" s="28" t="str">
        <x:v>P1</x:v>
      </x:c>
      <x:c r="E17" s="28" t="str">
        <x:v>Как работает «Броня X»?</x:v>
      </x:c>
      <x:c r="F17" s="28" t="str">
        <x:v>Карта с Бронёй X не получает первые X ран от немагических атак в течение каждого хода — как своего, так и хода противника.</x:v>
      </x:c>
      <x:c r="G17" s="28" t="str">
        <x:v>Броня X предотвращает первые X ран от немагических атак в каждом ходу.</x:v>
      </x:c>
      <x:c r="H17" s="28" t="str"/>
      <x:c r="I17" s="28" t="str">
        <x:v>answerable</x:v>
      </x:c>
      <x:c r="J17" s="28" t="str">
        <x:v>mechanic_query</x:v>
      </x:c>
      <x:c r="K17" s="28" t="str">
        <x:v>SRC-002</x:v>
      </x:c>
      <x:c r="L17" s="28" t="str">
        <x:v>https://berserk.ru/glossary</x:v>
      </x:c>
      <x:c r="M17" s="28" t="str">
        <x:v>Нет</x:v>
      </x:c>
      <x:c r="N17" s="28" t="str"/>
    </x:row>
    <x:row r="18">
      <x:c r="A18" s="28" t="str">
        <x:v>MEC-002</x:v>
      </x:c>
      <x:c r="B18" s="28" t="str">
        <x:v>Mechanics_Glossary</x:v>
      </x:c>
      <x:c r="C18" s="28" t="str">
        <x:v>hard</x:v>
      </x:c>
      <x:c r="D18" s="28" t="str">
        <x:v>P1</x:v>
      </x:c>
      <x:c r="E18" s="28" t="str">
        <x:v>Что происходит с бестелесной картой, когда она должна погибнуть?</x:v>
      </x:c>
      <x:c r="F18" s="28" t="str">
        <x:v>Вместо гибели бестелесная карта изгоняется.</x:v>
      </x:c>
      <x:c r="G18" s="28" t="str">
        <x:v>Бестелесная карта при событии гибели изгоняется вместо помещения на кладбище как погибшая.</x:v>
      </x:c>
      <x:c r="H18" s="28" t="str"/>
      <x:c r="I18" s="28" t="str">
        <x:v>answerable</x:v>
      </x:c>
      <x:c r="J18" s="28" t="str">
        <x:v>mechanic_query</x:v>
      </x:c>
      <x:c r="K18" s="28" t="str">
        <x:v>SRC-002</x:v>
      </x:c>
      <x:c r="L18" s="28" t="str">
        <x:v>https://berserk.ru/glossary</x:v>
      </x:c>
      <x:c r="M18" s="28" t="str">
        <x:v>Нет</x:v>
      </x:c>
      <x:c r="N18" s="28" t="str"/>
    </x:row>
    <x:row r="19">
      <x:c r="A19" s="28" t="str">
        <x:v>MEC-003</x:v>
      </x:c>
      <x:c r="B19" s="28" t="str">
        <x:v>Mechanics_Glossary</x:v>
      </x:c>
      <x:c r="C19" s="28" t="str">
        <x:v>hard</x:v>
      </x:c>
      <x:c r="D19" s="28" t="str">
        <x:v>P1</x:v>
      </x:c>
      <x:c r="E19" s="28" t="str">
        <x:v>Как работает вампиризм при простом ударе?</x:v>
      </x:c>
      <x:c r="F19" s="28" t="str">
        <x:v>Когда существо с вампиризмом наносит X ран простым ударом небестелесному существу, оно излечивается на X, но не больше оставшихся жизней цели; избыток лечения после полного излечения превращается в дополнительные жизни по правилу глоссария.</x:v>
      </x:c>
      <x:c r="G19" s="28" t="str">
        <x:v>Триггер — раны простым ударом по небестелесному; лечение связано с фактически допустимой величиной и может дать дополнительные жизни.</x:v>
      </x:c>
      <x:c r="H19" s="28" t="str"/>
      <x:c r="I19" s="28" t="str">
        <x:v>answerable</x:v>
      </x:c>
      <x:c r="J19" s="28" t="str">
        <x:v>mechanic_query</x:v>
      </x:c>
      <x:c r="K19" s="28" t="str">
        <x:v>SRC-002</x:v>
      </x:c>
      <x:c r="L19" s="28" t="str">
        <x:v>https://berserk.ru/glossary</x:v>
      </x:c>
      <x:c r="M19" s="28" t="str">
        <x:v>Нет</x:v>
      </x:c>
      <x:c r="N19" s="28" t="str"/>
    </x:row>
    <x:row r="20">
      <x:c r="A20" s="28" t="str">
        <x:v>MEC-004</x:v>
      </x:c>
      <x:c r="B20" s="28" t="str">
        <x:v>Mechanics_Glossary</x:v>
      </x:c>
      <x:c r="C20" s="28" t="str">
        <x:v>medium</x:v>
      </x:c>
      <x:c r="D20" s="28" t="str">
        <x:v>P1</x:v>
      </x:c>
      <x:c r="E20" s="28" t="str">
        <x:v>Что означает «Добивание на X»?</x:v>
      </x:c>
      <x:c r="F20" s="28" t="str">
        <x:v>Это воздействие, которое уничтожает стоящее рядом небестелесное существо (кроме симбиотов), если у него осталось X или меньше жизней, без нанесения ран.</x:v>
      </x:c>
      <x:c r="G20" s="28" t="str">
        <x:v>Стоящая рядом цель; небестелесное существо; X или меньше жизней; уничтожение без ран; это воздействие.</x:v>
      </x:c>
      <x:c r="H20" s="28" t="str"/>
      <x:c r="I20" s="28" t="str">
        <x:v>answerable</x:v>
      </x:c>
      <x:c r="J20" s="28" t="str">
        <x:v>mechanic_query</x:v>
      </x:c>
      <x:c r="K20" s="28" t="str">
        <x:v>SRC-002</x:v>
      </x:c>
      <x:c r="L20" s="28" t="str">
        <x:v>https://berserk.ru/glossary</x:v>
      </x:c>
      <x:c r="M20" s="28" t="str">
        <x:v>Нет</x:v>
      </x:c>
      <x:c r="N20" s="28" t="str"/>
    </x:row>
    <x:row r="21">
      <x:c r="A21" s="28" t="str">
        <x:v>MEC-005</x:v>
      </x:c>
      <x:c r="B21" s="28" t="str">
        <x:v>Mechanics_Glossary</x:v>
      </x:c>
      <x:c r="C21" s="28" t="str">
        <x:v>hard</x:v>
      </x:c>
      <x:c r="D21" s="28" t="str">
        <x:v>P1</x:v>
      </x:c>
      <x:c r="E21" s="28" t="str">
        <x:v>Как в общих чертах работает «Инкарнация X»?</x:v>
      </x:c>
      <x:c r="F21" s="28" t="str">
        <x:v>В начале вашего хода карта с Инкарнацией X на кладбище получает жетон инкарнации. При достижении X жетонов они снимаются, а карта возвращается закрытой в третий ряд; летающие — в дополнительную зону. Инкарнация используется один раз за бой.</x:v>
      </x:c>
      <x:c r="G21" s="28" t="str">
        <x:v>Жетоны на кладбище в начале хода; при X — возвращение; 1 раз за бой.</x:v>
      </x:c>
      <x:c r="H21" s="28" t="str"/>
      <x:c r="I21" s="28" t="str">
        <x:v>answerable</x:v>
      </x:c>
      <x:c r="J21" s="28" t="str">
        <x:v>mechanic_query</x:v>
      </x:c>
      <x:c r="K21" s="28" t="str">
        <x:v>SRC-002</x:v>
      </x:c>
      <x:c r="L21" s="28" t="str">
        <x:v>https://berserk.ru/glossary</x:v>
      </x:c>
      <x:c r="M21" s="28" t="str">
        <x:v>Нет</x:v>
      </x:c>
      <x:c r="N21" s="28" t="str"/>
    </x:row>
    <x:row r="22">
      <x:c r="A22" s="28" t="str">
        <x:v>MEC-006</x:v>
      </x:c>
      <x:c r="B22" s="28" t="str">
        <x:v>Mechanics_Glossary</x:v>
      </x:c>
      <x:c r="C22" s="28" t="str">
        <x:v>easy</x:v>
      </x:c>
      <x:c r="D22" s="28" t="str">
        <x:v>P1</x:v>
      </x:c>
      <x:c r="E22" s="28" t="str">
        <x:v>Сколько копий карты с особенностью «Орда» может быть в колоде?</x:v>
      </x:c>
      <x:c r="F22" s="28" t="str">
        <x:v>До 5 копий включительно.</x:v>
      </x:c>
      <x:c r="G22" s="28" t="str">
        <x:v>Орда разрешает 5 или меньше копий карты в колоде.</x:v>
      </x:c>
      <x:c r="H22" s="28" t="str"/>
      <x:c r="I22" s="28" t="str">
        <x:v>answerable</x:v>
      </x:c>
      <x:c r="J22" s="28" t="str">
        <x:v>mechanic_query</x:v>
      </x:c>
      <x:c r="K22" s="28" t="str">
        <x:v>SRC-002</x:v>
      </x:c>
      <x:c r="L22" s="28" t="str">
        <x:v>https://berserk.ru/glossary</x:v>
      </x:c>
      <x:c r="M22" s="28" t="str">
        <x:v>Нет</x:v>
      </x:c>
      <x:c r="N22" s="28" t="str"/>
    </x:row>
    <x:row r="23">
      <x:c r="A23" s="28" t="str">
        <x:v>MEC-007</x:v>
      </x:c>
      <x:c r="B23" s="28" t="str">
        <x:v>Mechanics_Glossary</x:v>
      </x:c>
      <x:c r="C23" s="28" t="str">
        <x:v>medium</x:v>
      </x:c>
      <x:c r="D23" s="28" t="str">
        <x:v>P1</x:v>
      </x:c>
      <x:c r="E23" s="28" t="str">
        <x:v>Когда и как наносит раны «Отравление на X»?</x:v>
      </x:c>
      <x:c r="F23" s="28" t="str">
        <x:v>В начале своего хода отравленное небестелесное существо ранится на X; величина отмечается маркерами отравления.</x:v>
      </x:c>
      <x:c r="G23" s="28" t="str">
        <x:v>Срабатывает в начале собственного хода; X ран; применимо к небестелесным существам.</x:v>
      </x:c>
      <x:c r="H23" s="28" t="str"/>
      <x:c r="I23" s="28" t="str">
        <x:v>answerable</x:v>
      </x:c>
      <x:c r="J23" s="28" t="str">
        <x:v>mechanic_query</x:v>
      </x:c>
      <x:c r="K23" s="28" t="str">
        <x:v>SRC-002</x:v>
      </x:c>
      <x:c r="L23" s="28" t="str">
        <x:v>https://berserk.ru/glossary</x:v>
      </x:c>
      <x:c r="M23" s="28" t="str">
        <x:v>Нет</x:v>
      </x:c>
      <x:c r="N23" s="28" t="str"/>
    </x:row>
    <x:row r="24">
      <x:c r="A24" s="28" t="str">
        <x:v>MEC-008</x:v>
      </x:c>
      <x:c r="B24" s="28" t="str">
        <x:v>Mechanics_Glossary</x:v>
      </x:c>
      <x:c r="C24" s="28" t="str">
        <x:v>hard</x:v>
      </x:c>
      <x:c r="D24" s="28" t="str">
        <x:v>P1</x:v>
      </x:c>
      <x:c r="E24" s="28" t="str">
        <x:v>Можно ли перенаправить атаку, которая уже была перенаправлена?</x:v>
      </x:c>
      <x:c r="F24" s="28" t="str">
        <x:v>Нет. Перенаправление меняет цель атаки и возможно только до бросков кубика; уже перенаправленную атаку перенаправить снова нельзя.</x:v>
      </x:c>
      <x:c r="G24" s="28" t="str">
        <x:v>До бросков; меняет цель; повторное перенаправление запрещено.</x:v>
      </x:c>
      <x:c r="H24" s="28" t="str"/>
      <x:c r="I24" s="28" t="str">
        <x:v>answerable</x:v>
      </x:c>
      <x:c r="J24" s="28" t="str">
        <x:v>mechanic_query</x:v>
      </x:c>
      <x:c r="K24" s="28" t="str">
        <x:v>SRC-002</x:v>
      </x:c>
      <x:c r="L24" s="28" t="str">
        <x:v>https://berserk.ru/glossary</x:v>
      </x:c>
      <x:c r="M24" s="28" t="str">
        <x:v>Нет</x:v>
      </x:c>
      <x:c r="N24" s="28" t="str"/>
    </x:row>
    <x:row r="25">
      <x:c r="A25" s="28" t="str">
        <x:v>MEC-009</x:v>
      </x:c>
      <x:c r="B25" s="28" t="str">
        <x:v>Mechanics_Glossary</x:v>
      </x:c>
      <x:c r="C25" s="28" t="str">
        <x:v>medium</x:v>
      </x:c>
      <x:c r="D25" s="28" t="str">
        <x:v>P1</x:v>
      </x:c>
      <x:c r="E25" s="28" t="str">
        <x:v>Как работает «Прыжок, дальность X» и можно ли прыгнуть после обычного движения?</x:v>
      </x:c>
      <x:c r="F25" s="28" t="str">
        <x:v>Существо тратит все единицы движения и перемещается на любую незанятую клетку в пределах X по правилам дальности. Если оно уже двигалось в этот ход, использовать прыжок нельзя.</x:v>
      </x:c>
      <x:c r="G25" s="28" t="str">
        <x:v>Тратятся все единицы движения; свободная клетка в пределах X; после движения прыгать нельзя.</x:v>
      </x:c>
      <x:c r="H25" s="28" t="str"/>
      <x:c r="I25" s="28" t="str">
        <x:v>answerable</x:v>
      </x:c>
      <x:c r="J25" s="28" t="str">
        <x:v>mechanic_query</x:v>
      </x:c>
      <x:c r="K25" s="28" t="str">
        <x:v>SRC-002</x:v>
      </x:c>
      <x:c r="L25" s="28" t="str">
        <x:v>https://berserk.ru/glossary</x:v>
      </x:c>
      <x:c r="M25" s="28" t="str">
        <x:v>Нет</x:v>
      </x:c>
      <x:c r="N25" s="28" t="str"/>
    </x:row>
    <x:row r="26">
      <x:c r="A26" s="28" t="str">
        <x:v>MEC-010</x:v>
      </x:c>
      <x:c r="B26" s="28" t="str">
        <x:v>Mechanics_Glossary</x:v>
      </x:c>
      <x:c r="C26" s="28" t="str">
        <x:v>easy</x:v>
      </x:c>
      <x:c r="D26" s="28" t="str">
        <x:v>P1</x:v>
      </x:c>
      <x:c r="E26" s="28" t="str">
        <x:v>Что делает «Регенерация X»?</x:v>
      </x:c>
      <x:c r="F26" s="28" t="str">
        <x:v>В начале своего хода небестелесное существо излечивается на X.</x:v>
      </x:c>
      <x:c r="G26" s="28" t="str">
        <x:v>В начале собственного хода: излечение на X; только небестелесное существо.</x:v>
      </x:c>
      <x:c r="H26" s="28" t="str"/>
      <x:c r="I26" s="28" t="str">
        <x:v>answerable</x:v>
      </x:c>
      <x:c r="J26" s="28" t="str">
        <x:v>mechanic_query</x:v>
      </x:c>
      <x:c r="K26" s="28" t="str">
        <x:v>SRC-002</x:v>
      </x:c>
      <x:c r="L26" s="28" t="str">
        <x:v>https://berserk.ru/glossary</x:v>
      </x:c>
      <x:c r="M26" s="28" t="str">
        <x:v>Нет</x:v>
      </x:c>
      <x:c r="N26" s="28" t="str"/>
    </x:row>
    <x:row r="27">
      <x:c r="A27" s="28" t="str">
        <x:v>MEC-011</x:v>
      </x:c>
      <x:c r="B27" s="28" t="str">
        <x:v>Mechanics_Glossary</x:v>
      </x:c>
      <x:c r="C27" s="28" t="str">
        <x:v>medium</x:v>
      </x:c>
      <x:c r="D27" s="28" t="str">
        <x:v>P1</x:v>
      </x:c>
      <x:c r="E27" s="28" t="str">
        <x:v>Какие карты считаются находящимися в «Строю»?</x:v>
      </x:c>
      <x:c r="F27" s="28" t="str">
        <x:v>Ваши карты с особенностью «Строй», стоящие рядом по горизонтали или вертикали, но не по диагонали. Если строй разрывается, соответствующие бонусы теряются.</x:v>
      </x:c>
      <x:c r="G27" s="28" t="str">
        <x:v>Соседство без диагонали; обе/все карты имеют «Строй»; при разрыве бонус исчезает.</x:v>
      </x:c>
      <x:c r="H27" s="28" t="str"/>
      <x:c r="I27" s="28" t="str">
        <x:v>answerable</x:v>
      </x:c>
      <x:c r="J27" s="28" t="str">
        <x:v>mechanic_query</x:v>
      </x:c>
      <x:c r="K27" s="28" t="str">
        <x:v>SRC-002</x:v>
      </x:c>
      <x:c r="L27" s="28" t="str">
        <x:v>https://berserk.ru/glossary</x:v>
      </x:c>
      <x:c r="M27" s="28" t="str">
        <x:v>Нет</x:v>
      </x:c>
      <x:c r="N27" s="28" t="str"/>
    </x:row>
    <x:row r="28">
      <x:c r="A28" s="28" t="str">
        <x:v>MEC-012</x:v>
      </x:c>
      <x:c r="B28" s="28" t="str">
        <x:v>Mechanics_Glossary</x:v>
      </x:c>
      <x:c r="C28" s="28" t="str">
        <x:v>hard</x:v>
      </x:c>
      <x:c r="D28" s="28" t="str">
        <x:v>P1</x:v>
      </x:c>
      <x:c r="E28" s="28" t="str">
        <x:v>Что означает уникальность карты?</x:v>
      </x:c>
      <x:c r="F28" s="28" t="str">
        <x:v>Уникальность обозначается короной. Нельзя взять в отряд или поместить на кладбище карту с таким названием, если карта с тем же названием в конфликтующей уникальной ситуации уже есть в вашем отряде или на кладбище; при появлении нескольких уникальных одноимённых карт применяются правила глоссария.</x:v>
      </x:c>
      <x:c r="G28" s="28" t="str">
        <x:v>Уникальность обозначается короной; ограничивает одновременное наличие одноимённых карт в отряде/на кладбище.</x:v>
      </x:c>
      <x:c r="H28" s="28" t="str"/>
      <x:c r="I28" s="28" t="str">
        <x:v>answerable</x:v>
      </x:c>
      <x:c r="J28" s="28" t="str">
        <x:v>mechanic_query</x:v>
      </x:c>
      <x:c r="K28" s="28" t="str">
        <x:v>SRC-002</x:v>
      </x:c>
      <x:c r="L28" s="28" t="str">
        <x:v>https://berserk.ru/glossary</x:v>
      </x:c>
      <x:c r="M28" s="28" t="str">
        <x:v>Нет</x:v>
      </x:c>
      <x:c r="N28" s="28" t="str">
        <x:v>Ожидается корректное краткое объяснение без необходимости воспроизводить весь подпункт глоссария.</x:v>
      </x:c>
    </x:row>
    <x:row r="29">
      <x:c r="A29" s="28" t="str">
        <x:v>CAR-001</x:v>
      </x:c>
      <x:c r="B29" s="28" t="str">
        <x:v>Cards_Facts</x:v>
      </x:c>
      <x:c r="C29" s="28" t="str">
        <x:v>easy</x:v>
      </x:c>
      <x:c r="D29" s="28" t="str">
        <x:v>P1</x:v>
      </x:c>
      <x:c r="E29" s="28" t="str">
        <x:v>Из какого выпуска Дхайа, какой она стихии, сколько стоит и сколько у неё здоровья?</x:v>
      </x:c>
      <x:c r="F29" s="28" t="str">
        <x:v>Дхайа — из выпуска «Нашествие тьмы», стихия Горы; стоит 5 золотых кристаллов и имеет 8 здоровья.</x:v>
      </x:c>
      <x:c r="G29" s="28" t="str">
        <x:v>Выпуск: Нашествие тьмы; стихия: Горы; стоимость: 5 золота; здоровье: 8.</x:v>
      </x:c>
      <x:c r="H29" s="28" t="str"/>
      <x:c r="I29" s="28" t="str">
        <x:v>answerable</x:v>
      </x:c>
      <x:c r="J29" s="28" t="str">
        <x:v>card_lookup</x:v>
      </x:c>
      <x:c r="K29" s="28" t="str">
        <x:v>CARD-001</x:v>
      </x:c>
      <x:c r="L29" s="28" t="str">
        <x:v>https://berserk.ru/?card_id=98852&amp;route=card%2Fcard</x:v>
      </x:c>
      <x:c r="M29" s="28" t="str">
        <x:v>Нет</x:v>
      </x:c>
      <x:c r="N29" s="28" t="str"/>
    </x:row>
    <x:row r="30">
      <x:c r="A30" s="28" t="str">
        <x:v>CAR-002</x:v>
      </x:c>
      <x:c r="B30" s="28" t="str">
        <x:v>Cards_Facts</x:v>
      </x:c>
      <x:c r="C30" s="28" t="str">
        <x:v>easy</x:v>
      </x:c>
      <x:c r="D30" s="28" t="str">
        <x:v>P1</x:v>
      </x:c>
      <x:c r="E30" s="28" t="str">
        <x:v>Какие базовые характеристики у «Лёгкой кавалерии»?</x:v>
      </x:c>
      <x:c r="F30" s="28" t="str">
        <x:v>Это частая карта выпуска «Призрачный легион», стихия Степи, стоимость 6 серебра, здоровье 11, 2 единицы движения, простой удар 2–3–3.</x:v>
      </x:c>
      <x:c r="G30" s="28" t="str">
        <x:v>Призрачный легион; Степи; 6 серебра; 11 здоровья; движение 2; удар 2-3-3.</x:v>
      </x:c>
      <x:c r="H30" s="28" t="str"/>
      <x:c r="I30" s="28" t="str">
        <x:v>answerable</x:v>
      </x:c>
      <x:c r="J30" s="28" t="str">
        <x:v>card_lookup</x:v>
      </x:c>
      <x:c r="K30" s="28" t="str">
        <x:v>CARD-002</x:v>
      </x:c>
      <x:c r="L30" s="28" t="str">
        <x:v>https://berserk.ru/?card_id=100509&amp;route=card%2Fcard</x:v>
      </x:c>
      <x:c r="M30" s="28" t="str">
        <x:v>Нет</x:v>
      </x:c>
      <x:c r="N30" s="28" t="str"/>
    </x:row>
    <x:row r="31">
      <x:c r="A31" s="28" t="str">
        <x:v>CAR-003</x:v>
      </x:c>
      <x:c r="B31" s="28" t="str">
        <x:v>Cards_Facts</x:v>
      </x:c>
      <x:c r="C31" s="28" t="str">
        <x:v>medium</x:v>
      </x:c>
      <x:c r="D31" s="28" t="str">
        <x:v>P1</x:v>
      </x:c>
      <x:c r="E31" s="28" t="str">
        <x:v>Какими защитными и восстановительными особенностями обладает «Древний огр»?</x:v>
      </x:c>
      <x:c r="F31" s="28" t="str">
        <x:v>У него есть защита от отравлений, Регенерация 1, −1 от выстрелов и метаний; при ударе по нему он получает защиту от ударов до конца хода.</x:v>
      </x:c>
      <x:c r="G31" s="28" t="str">
        <x:v>Защита от отравлений; Регенерация 1; −1 от выстрелов/метаний; при ударе получает защиту от ударов до конца хода.</x:v>
      </x:c>
      <x:c r="H31" s="28" t="str"/>
      <x:c r="I31" s="28" t="str">
        <x:v>answerable</x:v>
      </x:c>
      <x:c r="J31" s="28" t="str">
        <x:v>card_lookup</x:v>
      </x:c>
      <x:c r="K31" s="28" t="str">
        <x:v>CARD-003</x:v>
      </x:c>
      <x:c r="L31" s="28" t="str">
        <x:v>https://berserk.ru/?card_id=98399&amp;route=card%2Fcard</x:v>
      </x:c>
      <x:c r="M31" s="28" t="str">
        <x:v>Нет</x:v>
      </x:c>
      <x:c r="N31" s="28" t="str"/>
    </x:row>
    <x:row r="32">
      <x:c r="A32" s="28" t="str">
        <x:v>CAR-004</x:v>
      </x:c>
      <x:c r="B32" s="28" t="str">
        <x:v>Cards_Facts</x:v>
      </x:c>
      <x:c r="C32" s="28" t="str">
        <x:v>medium</x:v>
      </x:c>
      <x:c r="D32" s="28" t="str">
        <x:v>P1</x:v>
      </x:c>
      <x:c r="E32" s="28" t="str">
        <x:v>Что делает «Викарий» при своём разряде, если в отряде есть ангел или демон?</x:v>
      </x:c>
      <x:c r="F32" s="28" t="str">
        <x:v>При разряде, если в вашем отряде есть ангел, существо получает благословление; если есть демон — существо получает проклятие.</x:v>
      </x:c>
      <x:c r="G32" s="28" t="str">
        <x:v>Ангел -&gt; благословление; демон -&gt; проклятие; триггер — разряд Викария.</x:v>
      </x:c>
      <x:c r="H32" s="28" t="str"/>
      <x:c r="I32" s="28" t="str">
        <x:v>answerable</x:v>
      </x:c>
      <x:c r="J32" s="28" t="str">
        <x:v>card_lookup</x:v>
      </x:c>
      <x:c r="K32" s="28" t="str">
        <x:v>CARD-004</x:v>
      </x:c>
      <x:c r="L32" s="28" t="str">
        <x:v>https://berserk.ru/?card_id=101085&amp;route=card%2Fcard</x:v>
      </x:c>
      <x:c r="M32" s="28" t="str">
        <x:v>Нет</x:v>
      </x:c>
      <x:c r="N32" s="28" t="str"/>
    </x:row>
    <x:row r="33">
      <x:c r="A33" s="28" t="str">
        <x:v>CAR-005</x:v>
      </x:c>
      <x:c r="B33" s="28" t="str">
        <x:v>Cards_Facts</x:v>
      </x:c>
      <x:c r="C33" s="28" t="str">
        <x:v>medium</x:v>
      </x:c>
      <x:c r="D33" s="28" t="str">
        <x:v>P1</x:v>
      </x:c>
      <x:c r="E33" s="28" t="str">
        <x:v>Когда срабатывает способность «Жреца штормов» на дополнительный разряд?</x:v>
      </x:c>
      <x:c r="F33" s="28" t="str">
        <x:v>Когда ваша карта единовременно теряет 2 или более фишки, Жрец штормов делает разряд на 1; это может сработать до 2 раз за ход.</x:v>
      </x:c>
      <x:c r="G33" s="28" t="str">
        <x:v>Потеря вашей картой 2+ фишек одновременно; разряд на 1; максимум 2 раза за ход.</x:v>
      </x:c>
      <x:c r="H33" s="28" t="str"/>
      <x:c r="I33" s="28" t="str">
        <x:v>answerable</x:v>
      </x:c>
      <x:c r="J33" s="28" t="str">
        <x:v>card_lookup</x:v>
      </x:c>
      <x:c r="K33" s="28" t="str">
        <x:v>CARD-005</x:v>
      </x:c>
      <x:c r="L33" s="28" t="str">
        <x:v>https://berserk.ru/?card_id=98847&amp;route=card%2Fcard</x:v>
      </x:c>
      <x:c r="M33" s="28" t="str">
        <x:v>Нет</x:v>
      </x:c>
      <x:c r="N33" s="28" t="str"/>
    </x:row>
    <x:row r="34">
      <x:c r="A34" s="28" t="str">
        <x:v>CAR-006</x:v>
      </x:c>
      <x:c r="B34" s="28" t="str">
        <x:v>Cards_Facts</x:v>
      </x:c>
      <x:c r="C34" s="28" t="str">
        <x:v>medium</x:v>
      </x:c>
      <x:c r="D34" s="28" t="str">
        <x:v>P1</x:v>
      </x:c>
      <x:c r="E34" s="28" t="str">
        <x:v>Как работает «выкопать ров» у Землекопа?</x:v>
      </x:c>
      <x:c r="F34" s="28" t="str">
        <x:v>Выбранная свободная соседняя клетка получает маркер «ров». Когда существо перемещается на эту клетку, оно получает 4 раны, после чего ров исчезает.</x:v>
      </x:c>
      <x:c r="G34" s="28" t="str">
        <x:v>Только свободная соседняя клетка; маркер «ров»; при перемещении на клетку — 4 раны и исчезновение маркера.</x:v>
      </x:c>
      <x:c r="H34" s="28" t="str"/>
      <x:c r="I34" s="28" t="str">
        <x:v>answerable</x:v>
      </x:c>
      <x:c r="J34" s="28" t="str">
        <x:v>card_lookup</x:v>
      </x:c>
      <x:c r="K34" s="28" t="str">
        <x:v>CARD-006</x:v>
      </x:c>
      <x:c r="L34" s="28" t="str">
        <x:v>https://berserk.ru/?card_id=98815&amp;route=card%2Fcard</x:v>
      </x:c>
      <x:c r="M34" s="28" t="str">
        <x:v>Нет</x:v>
      </x:c>
      <x:c r="N34" s="28" t="str"/>
    </x:row>
    <x:row r="35">
      <x:c r="A35" s="28" t="str">
        <x:v>CAR-007</x:v>
      </x:c>
      <x:c r="B35" s="28" t="str">
        <x:v>Cards_Facts</x:v>
      </x:c>
      <x:c r="C35" s="28" t="str">
        <x:v>hard</x:v>
      </x:c>
      <x:c r="D35" s="28" t="str">
        <x:v>P1</x:v>
      </x:c>
      <x:c r="E35" s="28" t="str">
        <x:v>При каком событии «Древляна» может вызвать компаньона?</x:v>
      </x:c>
      <x:c r="F35" s="28" t="str">
        <x:v>Когда ваше существо получает раны от атаки карты противника в его ход, Древляна может вызвать компаньона на атакованное существо, если компаньона с таким названием нет в вашем отряде; 1 раз за ход.</x:v>
      </x:c>
      <x:c r="G35" s="28" t="str">
        <x:v>Раны от атаки карты противника в его ход; вызов компаньона на атакованное существо; проверка имени в отряде; 1 раз за ход.</x:v>
      </x:c>
      <x:c r="H35" s="28" t="str"/>
      <x:c r="I35" s="28" t="str">
        <x:v>answerable</x:v>
      </x:c>
      <x:c r="J35" s="28" t="str">
        <x:v>card_lookup</x:v>
      </x:c>
      <x:c r="K35" s="28" t="str">
        <x:v>CARD-007</x:v>
      </x:c>
      <x:c r="L35" s="28" t="str">
        <x:v>https://berserk.ru/?card_id=100980&amp;route=card%2Fcard</x:v>
      </x:c>
      <x:c r="M35" s="28" t="str">
        <x:v>Нет</x:v>
      </x:c>
      <x:c r="N35" s="28" t="str"/>
    </x:row>
    <x:row r="36">
      <x:c r="A36" s="28" t="str">
        <x:v>CAR-008</x:v>
      </x:c>
      <x:c r="B36" s="28" t="str">
        <x:v>Cards_Facts</x:v>
      </x:c>
      <x:c r="C36" s="28" t="str">
        <x:v>hard</x:v>
      </x:c>
      <x:c r="D36" s="28" t="str">
        <x:v>P1</x:v>
      </x:c>
      <x:c r="E36" s="28" t="str">
        <x:v>В чём суть способности «самопожертвование» у Азенаэля?</x:v>
      </x:c>
      <x:c r="F36" s="28" t="str">
        <x:v>При гибели вашего нетёмного существа стоимостью 5 или меньше Азенаэль может раниться на X и возродить это существо на его месте с X текущими жизнями; способность используется 1 раз за бой.</x:v>
      </x:c>
      <x:c r="G36" s="28" t="str">
        <x:v>Триггер: гибель своего нетёмного существа стоимостью ≤5; Азенаэль ранится на X; возрождение с X текущими жизнями; 1 раз за бой.</x:v>
      </x:c>
      <x:c r="H36" s="28" t="str"/>
      <x:c r="I36" s="28" t="str">
        <x:v>answerable</x:v>
      </x:c>
      <x:c r="J36" s="28" t="str">
        <x:v>card_lookup</x:v>
      </x:c>
      <x:c r="K36" s="28" t="str">
        <x:v>CARD-008</x:v>
      </x:c>
      <x:c r="L36" s="28" t="str">
        <x:v>https://berserk.ru/?card_id=101091&amp;route=card%2Fcard</x:v>
      </x:c>
      <x:c r="M36" s="28" t="str">
        <x:v>Нет</x:v>
      </x:c>
      <x:c r="N36" s="28" t="str"/>
    </x:row>
    <x:row r="37">
      <x:c r="A37" s="28" t="str">
        <x:v>FAQ-001</x:v>
      </x:c>
      <x:c r="B37" s="28" t="str">
        <x:v>Card_FAQ_Interactions</x:v>
      </x:c>
      <x:c r="C37" s="28" t="str">
        <x:v>hard</x:v>
      </x:c>
      <x:c r="D37" s="28" t="str">
        <x:v>P1</x:v>
      </x:c>
      <x:c r="E37" s="28" t="str">
        <x:v>Может ли Дхайа сделать первый разряд по существу, второй по соседнему существу, а третий снова по первой цели?</x:v>
      </x:c>
      <x:c r="F37" s="28" t="str">
        <x:v>Да, вернуться к первой цели можно. Но второй и третий разряды должны быть по существам; только первый разряд может быть заявлен по карте вообще.</x:v>
      </x:c>
      <x:c r="G37" s="28" t="str">
        <x:v>Возврат к первой цели разрешён; последующие разряды — только по существам.</x:v>
      </x:c>
      <x:c r="H37" s="28" t="str"/>
      <x:c r="I37" s="28" t="str">
        <x:v>answerable</x:v>
      </x:c>
      <x:c r="J37" s="28" t="str">
        <x:v>card_interaction</x:v>
      </x:c>
      <x:c r="K37" s="28" t="str">
        <x:v>CARD-001</x:v>
      </x:c>
      <x:c r="L37" s="28" t="str">
        <x:v>https://berserk.ru/?card_id=98852&amp;route=card%2Fcard</x:v>
      </x:c>
      <x:c r="M37" s="28" t="str">
        <x:v>Нет</x:v>
      </x:c>
      <x:c r="N37" s="28" t="str"/>
    </x:row>
    <x:row r="38">
      <x:c r="A38" s="28" t="str">
        <x:v>FAQ-002</x:v>
      </x:c>
      <x:c r="B38" s="28" t="str">
        <x:v>Card_FAQ_Interactions</x:v>
      </x:c>
      <x:c r="C38" s="28" t="str">
        <x:v>medium</x:v>
      </x:c>
      <x:c r="D38" s="28" t="str">
        <x:v>P1</x:v>
      </x:c>
      <x:c r="E38" s="28" t="str">
        <x:v>Получит ли «Лёгкая кавалерия» бонус «при движении», если её переместила другая карта?</x:v>
      </x:c>
      <x:c r="F38" s="28" t="str">
        <x:v>Нет. Перемещение другой картой не считается движением самой «Лёгкой кавалерии» для её способности.</x:v>
      </x:c>
      <x:c r="G38" s="28" t="str">
        <x:v>Ответ: нет; чужое перемещение ≠ движение самой карты.</x:v>
      </x:c>
      <x:c r="H38" s="28" t="str"/>
      <x:c r="I38" s="28" t="str">
        <x:v>answerable</x:v>
      </x:c>
      <x:c r="J38" s="28" t="str">
        <x:v>card_interaction</x:v>
      </x:c>
      <x:c r="K38" s="28" t="str">
        <x:v>CARD-002</x:v>
      </x:c>
      <x:c r="L38" s="28" t="str">
        <x:v>https://berserk.ru/?card_id=100509&amp;route=card%2Fcard</x:v>
      </x:c>
      <x:c r="M38" s="28" t="str">
        <x:v>Нет</x:v>
      </x:c>
      <x:c r="N38" s="28" t="str"/>
    </x:row>
    <x:row r="39">
      <x:c r="A39" s="28" t="str">
        <x:v>FAQ-003</x:v>
      </x:c>
      <x:c r="B39" s="28" t="str">
        <x:v>Card_FAQ_Interactions</x:v>
      </x:c>
      <x:c r="C39" s="28" t="str">
        <x:v>hard</x:v>
      </x:c>
      <x:c r="D39" s="28" t="str">
        <x:v>P1</x:v>
      </x:c>
      <x:c r="E39" s="28" t="str">
        <x:v>Получит ли «Древний огр» защиту от ударов, если по нему ударил Ётун?</x:v>
      </x:c>
      <x:c r="F39" s="28" t="str">
        <x:v>Да. Срабатывающей особенности Огра не требуется выбирать Ётуна целью, поэтому защита от ударов будет получена.</x:v>
      </x:c>
      <x:c r="G39" s="28" t="str">
        <x:v>Ответ: да; причина — триггер Огра не требует выбирать атакующего целью.</x:v>
      </x:c>
      <x:c r="H39" s="28" t="str"/>
      <x:c r="I39" s="28" t="str">
        <x:v>answerable</x:v>
      </x:c>
      <x:c r="J39" s="28" t="str">
        <x:v>card_interaction</x:v>
      </x:c>
      <x:c r="K39" s="28" t="str">
        <x:v>CARD-003</x:v>
      </x:c>
      <x:c r="L39" s="28" t="str">
        <x:v>https://berserk.ru/?card_id=98399&amp;route=card%2Fcard</x:v>
      </x:c>
      <x:c r="M39" s="28" t="str">
        <x:v>Нет</x:v>
      </x:c>
      <x:c r="N39" s="28" t="str"/>
    </x:row>
    <x:row r="40">
      <x:c r="A40" s="28" t="str">
        <x:v>FAQ-004</x:v>
      </x:c>
      <x:c r="B40" s="28" t="str">
        <x:v>Card_FAQ_Interactions</x:v>
      </x:c>
      <x:c r="C40" s="28" t="str">
        <x:v>medium</x:v>
      </x:c>
      <x:c r="D40" s="28" t="str">
        <x:v>P1</x:v>
      </x:c>
      <x:c r="E40" s="28" t="str">
        <x:v>Что произойдёт при разряде Викария, если в отряде одновременно есть и ангел, и демон?</x:v>
      </x:c>
      <x:c r="F40" s="28" t="str">
        <x:v>Сработают оба условия: можно выдать и благословление, и проклятие; не обязательно одному и тому же существу.</x:v>
      </x:c>
      <x:c r="G40" s="28" t="str">
        <x:v>Оба эффекта применимы; цели могут различаться.</x:v>
      </x:c>
      <x:c r="H40" s="28" t="str"/>
      <x:c r="I40" s="28" t="str">
        <x:v>answerable</x:v>
      </x:c>
      <x:c r="J40" s="28" t="str">
        <x:v>card_interaction</x:v>
      </x:c>
      <x:c r="K40" s="28" t="str">
        <x:v>CARD-004</x:v>
      </x:c>
      <x:c r="L40" s="28" t="str">
        <x:v>https://berserk.ru/?card_id=101085&amp;route=card%2Fcard</x:v>
      </x:c>
      <x:c r="M40" s="28" t="str">
        <x:v>Нет</x:v>
      </x:c>
      <x:c r="N40" s="28" t="str"/>
    </x:row>
    <x:row r="41">
      <x:c r="A41" s="28" t="str">
        <x:v>FAQ-005</x:v>
      </x:c>
      <x:c r="B41" s="28" t="str">
        <x:v>Card_FAQ_Interactions</x:v>
      </x:c>
      <x:c r="C41" s="28" t="str">
        <x:v>hard</x:v>
      </x:c>
      <x:c r="D41" s="28" t="str">
        <x:v>P1</x:v>
      </x:c>
      <x:c r="E41" s="28" t="str">
        <x:v>Срабатывает ли «Жрец штормов» только когда 2+ фишки тратятся как стоимость способности?</x:v>
      </x:c>
      <x:c r="F41" s="28" t="str">
        <x:v>Нет. Важен сам факт потери 2 или более фишек одновременно, не обязательно как оплата. Но гибель карты с фишками сама по себе не считается такой потерей для этого триггера.</x:v>
      </x:c>
      <x:c r="G41" s="28" t="str">
        <x:v>Триггер зависит от факта потери 2+ фишек; не обязательно оплата; гибель с фишками не запускает указанное срабатывание.</x:v>
      </x:c>
      <x:c r="H41" s="28" t="str"/>
      <x:c r="I41" s="28" t="str">
        <x:v>answerable</x:v>
      </x:c>
      <x:c r="J41" s="28" t="str">
        <x:v>card_interaction</x:v>
      </x:c>
      <x:c r="K41" s="28" t="str">
        <x:v>CARD-005</x:v>
      </x:c>
      <x:c r="L41" s="28" t="str">
        <x:v>https://berserk.ru/?card_id=98847&amp;route=card%2Fcard</x:v>
      </x:c>
      <x:c r="M41" s="28" t="str">
        <x:v>Нет</x:v>
      </x:c>
      <x:c r="N41" s="28" t="str"/>
    </x:row>
    <x:row r="42">
      <x:c r="A42" s="28" t="str">
        <x:v>FAQ-006</x:v>
      </x:c>
      <x:c r="B42" s="28" t="str">
        <x:v>Card_FAQ_Interactions</x:v>
      </x:c>
      <x:c r="C42" s="28" t="str">
        <x:v>hard</x:v>
      </x:c>
      <x:c r="D42" s="28" t="str">
        <x:v>P1</x:v>
      </x:c>
      <x:c r="E42" s="28" t="str">
        <x:v>Можно ли положить несколько маркеров «ров» Землекопа на одну клетку и что будет при входе существа?</x:v>
      </x:c>
      <x:c r="F42" s="28" t="str">
        <x:v>Да. Несколько рвов допустимы; при перемещении существа на клетку они поочерёдно наносят по 4 раны и каждый исчезает после срабатывания.</x:v>
      </x:c>
      <x:c r="G42" s="28" t="str">
        <x:v>Несколько рвов на клетке разрешены; каждый последовательно наносит 4 раны и исчезает.</x:v>
      </x:c>
      <x:c r="H42" s="28" t="str"/>
      <x:c r="I42" s="28" t="str">
        <x:v>answerable</x:v>
      </x:c>
      <x:c r="J42" s="28" t="str">
        <x:v>card_interaction</x:v>
      </x:c>
      <x:c r="K42" s="28" t="str">
        <x:v>CARD-006</x:v>
      </x:c>
      <x:c r="L42" s="28" t="str">
        <x:v>https://berserk.ru/?card_id=98815&amp;route=card%2Fcard</x:v>
      </x:c>
      <x:c r="M42" s="28" t="str">
        <x:v>Нет</x:v>
      </x:c>
      <x:c r="N42" s="28" t="str"/>
    </x:row>
    <x:row r="43">
      <x:c r="A43" s="28" t="str">
        <x:v>FAQ-007</x:v>
      </x:c>
      <x:c r="B43" s="28" t="str">
        <x:v>Card_FAQ_Interactions</x:v>
      </x:c>
      <x:c r="C43" s="28" t="str">
        <x:v>medium</x:v>
      </x:c>
      <x:c r="D43" s="28" t="str">
        <x:v>P1</x:v>
      </x:c>
      <x:c r="E43" s="28" t="str">
        <x:v>Учитывает ли Древляна компаньонов с таким же названием на кладбище, когда проверяет возможность вызова?</x:v>
      </x:c>
      <x:c r="F43" s="28" t="str">
        <x:v>Нет. FAQ карты уточняет, что компаньоны на кладбище при этой проверке не учитываются.</x:v>
      </x:c>
      <x:c r="G43" s="28" t="str">
        <x:v>Ответ: нет; проверяется наличие в отряде, а не на кладбище.</x:v>
      </x:c>
      <x:c r="H43" s="28" t="str"/>
      <x:c r="I43" s="28" t="str">
        <x:v>answerable</x:v>
      </x:c>
      <x:c r="J43" s="28" t="str">
        <x:v>card_interaction</x:v>
      </x:c>
      <x:c r="K43" s="28" t="str">
        <x:v>CARD-007</x:v>
      </x:c>
      <x:c r="L43" s="28" t="str">
        <x:v>https://berserk.ru/?card_id=100980&amp;route=card%2Fcard</x:v>
      </x:c>
      <x:c r="M43" s="28" t="str">
        <x:v>Нет</x:v>
      </x:c>
      <x:c r="N43" s="28" t="str"/>
    </x:row>
    <x:row r="44">
      <x:c r="A44" s="28" t="str">
        <x:v>FAQ-008</x:v>
      </x:c>
      <x:c r="B44" s="28" t="str">
        <x:v>Card_FAQ_Interactions</x:v>
      </x:c>
      <x:c r="C44" s="28" t="str">
        <x:v>hard</x:v>
      </x:c>
      <x:c r="D44" s="28" t="str">
        <x:v>P1</x:v>
      </x:c>
      <x:c r="E44" s="28" t="str">
        <x:v>Можно ли назначить защитника от внезапной особенности «Мастера разума» или перенаправить её простой удар?</x:v>
      </x:c>
      <x:c r="F44" s="28" t="str">
        <x:v>Нет в обоих случаях.</x:v>
      </x:c>
      <x:c r="G44" s="28" t="str">
        <x:v>Защитник: нельзя; перенаправление: нельзя.</x:v>
      </x:c>
      <x:c r="H44" s="28" t="str"/>
      <x:c r="I44" s="28" t="str">
        <x:v>answerable</x:v>
      </x:c>
      <x:c r="J44" s="28" t="str">
        <x:v>card_interaction</x:v>
      </x:c>
      <x:c r="K44" s="28" t="str">
        <x:v>CARD-009</x:v>
      </x:c>
      <x:c r="L44" s="28" t="str">
        <x:v>https://berserk.ru/?card_id=98846&amp;route=card%2Fcard</x:v>
      </x:c>
      <x:c r="M44" s="28" t="str">
        <x:v>Нет</x:v>
      </x:c>
      <x:c r="N44" s="28" t="str"/>
    </x:row>
    <x:row r="45">
      <x:c r="A45" s="28" t="str">
        <x:v>TRN-001</x:v>
      </x:c>
      <x:c r="B45" s="28" t="str">
        <x:v>Tournament_Formats</x:v>
      </x:c>
      <x:c r="C45" s="28" t="str">
        <x:v>easy</x:v>
      </x:c>
      <x:c r="D45" s="28" t="str">
        <x:v>P1</x:v>
      </x:c>
      <x:c r="E45" s="28" t="str">
        <x:v>Какие базовые ограничения на колоду действуют для констрактед-турниров классического «Берсерка»?</x:v>
      </x:c>
      <x:c r="F45" s="28" t="str">
        <x:v>Колода содержит от 30 до 50 карт, не более трёх одинаковых карт и не должна содержать запрещённые карты.</x:v>
      </x:c>
      <x:c r="G45" s="28" t="str">
        <x:v>30–50 карт; максимум 3 одинаковые; запрещённые карты исключены.</x:v>
      </x:c>
      <x:c r="H45" s="28" t="str"/>
      <x:c r="I45" s="28" t="str">
        <x:v>answerable</x:v>
      </x:c>
      <x:c r="J45" s="28" t="str">
        <x:v>tournament_query</x:v>
      </x:c>
      <x:c r="K45" s="28" t="str">
        <x:v>SRC-003</x:v>
      </x:c>
      <x:c r="L45" s="28" t="str">
        <x:v>https://berserk.ru/company/tournament</x:v>
      </x:c>
      <x:c r="M45" s="28" t="str">
        <x:v>Нет</x:v>
      </x:c>
      <x:c r="N45" s="28" t="str"/>
    </x:row>
    <x:row r="46">
      <x:c r="A46" s="28" t="str">
        <x:v>TRN-002</x:v>
      </x:c>
      <x:c r="B46" s="28" t="str">
        <x:v>Tournament_Formats</x:v>
      </x:c>
      <x:c r="C46" s="28" t="str">
        <x:v>medium</x:v>
      </x:c>
      <x:c r="D46" s="28" t="str">
        <x:v>P1</x:v>
      </x:c>
      <x:c r="E46" s="28" t="str">
        <x:v>Какие выпуски легальны в формате Стандарт на текущей официальной турнирной странице?</x:v>
      </x:c>
      <x:c r="F46" s="28" t="str">
        <x:v>На снимке от 03.10.2026 указаны «Путь хранителей», «Призрачный легион», «Гибель богов», «Сердце роя» и набор «Легенды Лаара».</x:v>
      </x:c>
      <x:c r="G46" s="28" t="str">
        <x:v>Путь хранителей; Призрачный легион; Гибель богов; Сердце роя; Легенды Лаара.</x:v>
      </x:c>
      <x:c r="H46" s="28" t="str"/>
      <x:c r="I46" s="28" t="str">
        <x:v>answerable</x:v>
      </x:c>
      <x:c r="J46" s="28" t="str">
        <x:v>tournament_query</x:v>
      </x:c>
      <x:c r="K46" s="28" t="str">
        <x:v>SRC-003</x:v>
      </x:c>
      <x:c r="L46" s="28" t="str">
        <x:v>https://berserk.ru/company/tournament</x:v>
      </x:c>
      <x:c r="M46" s="28" t="str">
        <x:v>Да</x:v>
      </x:c>
      <x:c r="N46" s="28" t="str">
        <x:v>Динамический тест: при обновлении источника gold-ответ нужно пересмотреть.</x:v>
      </x:c>
    </x:row>
    <x:row r="47">
      <x:c r="A47" s="28" t="str">
        <x:v>TRN-003</x:v>
      </x:c>
      <x:c r="B47" s="28" t="str">
        <x:v>Tournament_Formats</x:v>
      </x:c>
      <x:c r="C47" s="28" t="str">
        <x:v>easy</x:v>
      </x:c>
      <x:c r="D47" s="28" t="str">
        <x:v>P1</x:v>
      </x:c>
      <x:c r="E47" s="28" t="str">
        <x:v>На какие два фундаментальных типа делятся турниры по классическому «Берсерку»?</x:v>
      </x:c>
      <x:c r="F47" s="28" t="str">
        <x:v>На Лимитед и Констрактед.</x:v>
      </x:c>
      <x:c r="G47" s="28" t="str">
        <x:v>Два типа: Limited (Лимитед) и Constructed (Констрактед).</x:v>
      </x:c>
      <x:c r="H47" s="28" t="str"/>
      <x:c r="I47" s="28" t="str">
        <x:v>answerable</x:v>
      </x:c>
      <x:c r="J47" s="28" t="str">
        <x:v>tournament_query</x:v>
      </x:c>
      <x:c r="K47" s="28" t="str">
        <x:v>SRC-003</x:v>
      </x:c>
      <x:c r="L47" s="28" t="str">
        <x:v>https://berserk.ru/company/tournament</x:v>
      </x:c>
      <x:c r="M47" s="28" t="str">
        <x:v>Нет</x:v>
      </x:c>
      <x:c r="N47" s="28" t="str"/>
    </x:row>
    <x:row r="48">
      <x:c r="A48" s="28" t="str">
        <x:v>TRN-004</x:v>
      </x:c>
      <x:c r="B48" s="28" t="str">
        <x:v>Tournament_Formats</x:v>
      </x:c>
      <x:c r="C48" s="28" t="str">
        <x:v>medium</x:v>
      </x:c>
      <x:c r="D48" s="28" t="str">
        <x:v>P1</x:v>
      </x:c>
      <x:c r="E48" s="28" t="str">
        <x:v>Какие три формата релизных турниров перечислены на официальной странице?</x:v>
      </x:c>
      <x:c r="F48" s="28" t="str">
        <x:v>Смешанный силед (стартовый набор + 2 бустера), силед на 4 бустерах и драфт на 3 бустерах.</x:v>
      </x:c>
      <x:c r="G48" s="28" t="str">
        <x:v>Смешанный силед: старт + 2 бустера; силед: 4 бустера; драфт: 3 бустера.</x:v>
      </x:c>
      <x:c r="H48" s="28" t="str"/>
      <x:c r="I48" s="28" t="str">
        <x:v>answerable</x:v>
      </x:c>
      <x:c r="J48" s="28" t="str">
        <x:v>tournament_query</x:v>
      </x:c>
      <x:c r="K48" s="28" t="str">
        <x:v>SRC-003</x:v>
      </x:c>
      <x:c r="L48" s="28" t="str">
        <x:v>https://berserk.ru/company/tournament</x:v>
      </x:c>
      <x:c r="M48" s="28" t="str">
        <x:v>Да</x:v>
      </x:c>
      <x:c r="N48" s="28" t="str">
        <x:v>Организаторские форматы могут меняться; проверять актуальность.</x:v>
      </x:c>
    </x:row>
    <x:row r="49">
      <x:c r="A49" s="28" t="str">
        <x:v>TRN-005</x:v>
      </x:c>
      <x:c r="B49" s="28" t="str">
        <x:v>Tournament_Formats</x:v>
      </x:c>
      <x:c r="C49" s="28" t="str">
        <x:v>hard</x:v>
      </x:c>
      <x:c r="D49" s="28" t="str">
        <x:v>P1</x:v>
      </x:c>
      <x:c r="E49" s="28" t="str">
        <x:v>Что делает Общий Турнирный Центр (ОТЦ)?</x:v>
      </x:c>
      <x:c r="F49" s="28" t="str">
        <x:v>ОТЦ сертифицирует судей, разбирает жалобы на качество судейства, решает вопросы приостановления членства игроков, при необходимости банит карты, планирует турнирный сезон и поддерживает клубы и игроков по турнирным вопросам.</x:v>
      </x:c>
      <x:c r="G49" s="28" t="str">
        <x:v>Сертификация судей; жалобы на судейство; дисциплинарные вопросы; баны карт; планирование сезона; турнирная поддержка.</x:v>
      </x:c>
      <x:c r="H49" s="28" t="str"/>
      <x:c r="I49" s="28" t="str">
        <x:v>answerable</x:v>
      </x:c>
      <x:c r="J49" s="28" t="str">
        <x:v>tournament_query</x:v>
      </x:c>
      <x:c r="K49" s="28" t="str">
        <x:v>SRC-003</x:v>
      </x:c>
      <x:c r="L49" s="28" t="str">
        <x:v>https://berserk.ru/company/tournament</x:v>
      </x:c>
      <x:c r="M49" s="28" t="str">
        <x:v>Нет</x:v>
      </x:c>
      <x:c r="N49" s="28" t="str"/>
    </x:row>
    <x:row r="50">
      <x:c r="A50" s="28" t="str">
        <x:v>NEG-001</x:v>
      </x:c>
      <x:c r="B50" s="28" t="str">
        <x:v>Negative_OutOfScope</x:v>
      </x:c>
      <x:c r="C50" s="28" t="str">
        <x:v>easy</x:v>
      </x:c>
      <x:c r="D50" s="28" t="str">
        <x:v>P2</x:v>
      </x:c>
      <x:c r="E50" s="28" t="str">
        <x:v>Какая сегодня погода в Самаре?</x:v>
      </x:c>
      <x:c r="F50" s="28" t="str">
        <x:v>В базе знаний по ККИ «Берсерк» нет данных о погоде. Ассистент должен сообщить, что вопрос вне области базы, а не придумывать ответ.</x:v>
      </x:c>
      <x:c r="G50" s="28" t="str">
        <x:v>Явно указать отсутствие релевантных данных в KB / out-of-scope.</x:v>
      </x:c>
      <x:c r="H50" s="28" t="str">
        <x:v>Не сообщать выдуманную температуру, прогноз или ссылку на несуществующий источник.</x:v>
      </x:c>
      <x:c r="I50" s="28" t="str">
        <x:v>unanswerable</x:v>
      </x:c>
      <x:c r="J50" s="28" t="str">
        <x:v>out_of_scope</x:v>
      </x:c>
      <x:c r="K50" s="28" t="str">
        <x:v>SRC-001;SRC-002;SRC-004</x:v>
      </x:c>
      <x:c r="L50" s="28" t="str">
        <x:v>https://berserk.ru/pravila-igri
https://berserk.ru/glossary
https://berserk.ru/</x:v>
      </x:c>
      <x:c r="M50" s="28" t="str">
        <x:v>Нет</x:v>
      </x:c>
      <x:c r="N50" s="28" t="str"/>
    </x:row>
    <x:row r="51">
      <x:c r="A51" s="28" t="str">
        <x:v>NEG-002</x:v>
      </x:c>
      <x:c r="B51" s="28" t="str">
        <x:v>Negative_OutOfScope</x:v>
      </x:c>
      <x:c r="C51" s="28" t="str">
        <x:v>medium</x:v>
      </x:c>
      <x:c r="D51" s="28" t="str">
        <x:v>P1</x:v>
      </x:c>
      <x:c r="E51" s="28" t="str">
        <x:v>Какой винрейт у Дхайи в текущей турнирной мете?</x:v>
      </x:c>
      <x:c r="F51" s="28" t="str">
        <x:v>По перечисленным официальным источникам достоверный текущий винрейт Дхайи не установлен. Ассистент должен обозначить отсутствие статистики, а не генерировать число.</x:v>
      </x:c>
      <x:c r="G51" s="28" t="str">
        <x:v>Нет подтверждённого числового винрейта в используемой официальной KB; нужно сказать об отсутствии данных.</x:v>
      </x:c>
      <x:c r="H51" s="28" t="str">
        <x:v>Не выдумывать процент побед, выборку, рейтинг или мета-статистику.</x:v>
      </x:c>
      <x:c r="I51" s="28" t="str">
        <x:v>unanswerable</x:v>
      </x:c>
      <x:c r="J51" s="28" t="str">
        <x:v>unsupported_analytics</x:v>
      </x:c>
      <x:c r="K51" s="28" t="str">
        <x:v>CARD-001;SRC-003</x:v>
      </x:c>
      <x:c r="L51" s="28" t="str">
        <x:v>https://berserk.ru/?card_id=98852&amp;route=card%2Fcard
https://berserk.ru/company/tournament</x:v>
      </x:c>
      <x:c r="M51" s="28" t="str">
        <x:v>Нет</x:v>
      </x:c>
      <x:c r="N51" s="28" t="str"/>
    </x:row>
  </x:sheetData>
  <x:pageMargins left="0.7" right="0.7" top="0.75" bottom="0.75" header="0.3" footer="0.3"/>
  <x:tableParts count="1">
    <x:tablePart xmlns:r="http://schemas.openxmlformats.org/officeDocument/2006/relationships" r:id="Re024daefaba84d4c"/>
  </x:tableParts>
</x:worksheet>
</file>